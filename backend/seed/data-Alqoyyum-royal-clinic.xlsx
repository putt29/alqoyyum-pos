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 UMUM\Al-Qoyyum Royal\"/>
    </mc:Choice>
  </mc:AlternateContent>
  <xr:revisionPtr revIDLastSave="0" documentId="13_ncr:1_{82B4897D-4261-4E48-B6BA-3B26E8B1B861}" xr6:coauthVersionLast="43" xr6:coauthVersionMax="43" xr10:uidLastSave="{00000000-0000-0000-0000-000000000000}"/>
  <bookViews>
    <workbookView xWindow="-120" yWindow="-120" windowWidth="20730" windowHeight="11040" xr2:uid="{2F87D9CA-846D-4F27-8B52-FA0C61300DB9}"/>
  </bookViews>
  <sheets>
    <sheet name="KWITANSI FULL " sheetId="5" r:id="rId1"/>
    <sheet name="KWITANSI jasa" sheetId="6" r:id="rId2"/>
    <sheet name="KWITANSI obat" sheetId="7" r:id="rId3"/>
    <sheet name="KWITANSI obat (2)" sheetId="16" r:id="rId4"/>
    <sheet name="HARGA" sheetId="2" r:id="rId5"/>
    <sheet name="KWITANSI FULL  (3)" sheetId="15" r:id="rId6"/>
    <sheet name="KWITANSI FULL  (2)" sheetId="13" r:id="rId7"/>
    <sheet name="Kuretase" sheetId="9" r:id="rId8"/>
    <sheet name="mabok.ngidam" sheetId="8" r:id="rId9"/>
    <sheet name="lahiran" sheetId="11" r:id="rId10"/>
    <sheet name="Kuretasi (2)" sheetId="10" r:id="rId11"/>
    <sheet name="Pasang UID" sheetId="12" r:id="rId12"/>
    <sheet name="Kuretasi (3)" sheetId="14" r:id="rId13"/>
  </sheets>
  <externalReferences>
    <externalReference r:id="rId14"/>
    <externalReference r:id="rId15"/>
    <externalReference r:id="rId16"/>
  </externalReferences>
  <definedNames>
    <definedName name="_xlnm.Print_Area" localSheetId="4">HARGA!$A$120:$D$192</definedName>
    <definedName name="_xlnm.Print_Area" localSheetId="7">Kuretase!$A$1:$G$50</definedName>
    <definedName name="_xlnm.Print_Area" localSheetId="10">'Kuretasi (2)'!$A$1:$G$32</definedName>
    <definedName name="_xlnm.Print_Area" localSheetId="12">'Kuretasi (3)'!$A$1:$G$29</definedName>
    <definedName name="_xlnm.Print_Area" localSheetId="0">'KWITANSI FULL '!$A$1:$G$30</definedName>
    <definedName name="_xlnm.Print_Area" localSheetId="6">'KWITANSI FULL  (2)'!$A$1:$G$29</definedName>
    <definedName name="_xlnm.Print_Area" localSheetId="5">'KWITANSI FULL  (3)'!$A$1:$G$25</definedName>
    <definedName name="_xlnm.Print_Area" localSheetId="1">'KWITANSI jasa'!$A$1:$G$23</definedName>
    <definedName name="_xlnm.Print_Area" localSheetId="2">'KWITANSI obat'!$A$1:$G$24</definedName>
    <definedName name="_xlnm.Print_Area" localSheetId="3">'KWITANSI obat (2)'!$A$1:$G$24</definedName>
    <definedName name="_xlnm.Print_Area" localSheetId="9">lahiran!$A$1:$G$25</definedName>
    <definedName name="_xlnm.Print_Area" localSheetId="8">mabok.ngidam!$A$1:$G$35</definedName>
    <definedName name="_xlnm.Print_Area" localSheetId="11">'Pasang UID'!$A$1:$G$26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15" i="5" l="1"/>
  <c r="G16" i="5"/>
  <c r="G18" i="5"/>
  <c r="G13" i="5"/>
  <c r="G12" i="5" l="1"/>
  <c r="A38" i="5" l="1"/>
  <c r="G21" i="9"/>
  <c r="G11" i="5" l="1"/>
  <c r="G11" i="6" l="1"/>
  <c r="G17" i="5" l="1"/>
  <c r="G14" i="5"/>
  <c r="G13" i="7" l="1"/>
  <c r="D40" i="5" l="1"/>
  <c r="G7" i="5" l="1"/>
  <c r="D8" i="5" l="1"/>
  <c r="A118" i="2" l="1"/>
  <c r="G12" i="6" l="1"/>
  <c r="G14" i="6" s="1"/>
  <c r="G47" i="5" l="1"/>
  <c r="D7" i="6" l="1"/>
  <c r="D7" i="7" l="1"/>
  <c r="A5" i="7"/>
  <c r="D8" i="6" l="1"/>
  <c r="G21" i="5" l="1"/>
  <c r="G49" i="5" l="1"/>
  <c r="C99" i="2" l="1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9" i="2"/>
  <c r="C98" i="2"/>
  <c r="C77" i="2"/>
  <c r="D41" i="5" l="1"/>
  <c r="C79" i="2" l="1"/>
  <c r="C81" i="2" l="1"/>
  <c r="G13" i="15" l="1"/>
  <c r="G12" i="15"/>
  <c r="G12" i="7" l="1"/>
  <c r="D34" i="7" l="1"/>
  <c r="G16" i="13" l="1"/>
  <c r="G17" i="13"/>
  <c r="G18" i="13"/>
  <c r="G15" i="13"/>
  <c r="G13" i="13"/>
  <c r="G14" i="13"/>
  <c r="G12" i="13"/>
  <c r="G20" i="13" l="1"/>
  <c r="G41" i="7"/>
  <c r="G42" i="7"/>
  <c r="G43" i="7"/>
  <c r="G38" i="7"/>
  <c r="G39" i="7"/>
  <c r="G37" i="7"/>
  <c r="D23" i="13"/>
  <c r="A5" i="6" l="1"/>
  <c r="D8" i="7" l="1"/>
  <c r="D7" i="16" l="1"/>
  <c r="G48" i="5" l="1"/>
  <c r="G40" i="16" l="1"/>
  <c r="G39" i="16"/>
  <c r="G33" i="16"/>
  <c r="A27" i="16"/>
  <c r="G12" i="16"/>
  <c r="G15" i="16" s="1"/>
  <c r="G7" i="16"/>
  <c r="D8" i="16"/>
  <c r="A5" i="16"/>
  <c r="D18" i="16"/>
  <c r="G42" i="16" l="1"/>
  <c r="A5" i="15" l="1"/>
  <c r="G7" i="15" l="1"/>
  <c r="G40" i="7" l="1"/>
  <c r="G44" i="5" l="1"/>
  <c r="G45" i="5"/>
  <c r="G46" i="5"/>
  <c r="D24" i="5"/>
  <c r="A31" i="7" l="1"/>
  <c r="D18" i="6"/>
  <c r="C65" i="2" l="1"/>
  <c r="G35" i="15" l="1"/>
  <c r="D36" i="15"/>
  <c r="A33" i="15"/>
  <c r="G14" i="15"/>
  <c r="G16" i="15" s="1"/>
  <c r="D19" i="15"/>
  <c r="G44" i="15" l="1"/>
  <c r="D46" i="15"/>
  <c r="G51" i="5" l="1"/>
  <c r="D53" i="5"/>
  <c r="G15" i="7" l="1"/>
  <c r="D18" i="7"/>
  <c r="G15" i="12" l="1"/>
  <c r="G16" i="12"/>
  <c r="G14" i="12"/>
  <c r="D8" i="12"/>
  <c r="G48" i="12"/>
  <c r="G21" i="10" l="1"/>
  <c r="G8" i="13" l="1"/>
  <c r="G50" i="12" l="1"/>
  <c r="G40" i="6" l="1"/>
  <c r="A33" i="6" l="1"/>
  <c r="C36" i="6" l="1"/>
  <c r="D8" i="11" l="1"/>
  <c r="G17" i="11"/>
  <c r="G12" i="14" l="1"/>
  <c r="G11" i="14"/>
  <c r="G18" i="14" l="1"/>
  <c r="G53" i="13" l="1"/>
  <c r="G39" i="13"/>
  <c r="D39" i="13"/>
  <c r="D40" i="13" s="1"/>
  <c r="A37" i="13"/>
  <c r="A33" i="13"/>
  <c r="G19" i="8" l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9" i="2" l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18" i="2"/>
  <c r="G13" i="12"/>
  <c r="G37" i="12"/>
  <c r="D38" i="12"/>
  <c r="A31" i="12"/>
  <c r="G12" i="12"/>
  <c r="G11" i="12"/>
  <c r="G7" i="12"/>
  <c r="G18" i="12" l="1"/>
  <c r="A56" i="2"/>
  <c r="A57" i="2" l="1"/>
  <c r="A58" i="2" s="1"/>
  <c r="A59" i="2" s="1"/>
  <c r="A60" i="2" s="1"/>
  <c r="A61" i="2" l="1"/>
  <c r="A62" i="2" s="1"/>
  <c r="G48" i="11"/>
  <c r="G36" i="11"/>
  <c r="D37" i="11"/>
  <c r="A30" i="11"/>
  <c r="G7" i="11"/>
  <c r="A63" i="2" l="1"/>
  <c r="A64" i="2" s="1"/>
  <c r="A65" i="2" l="1"/>
  <c r="A66" i="2" l="1"/>
  <c r="A67" i="2" s="1"/>
  <c r="A68" i="2" s="1"/>
  <c r="A69" i="2" s="1"/>
  <c r="A5" i="8"/>
  <c r="A70" i="2" l="1"/>
  <c r="A71" i="2" s="1"/>
  <c r="A5" i="10"/>
  <c r="A72" i="2" l="1"/>
  <c r="A73" i="2" s="1"/>
  <c r="A74" i="2" l="1"/>
  <c r="A75" i="2" s="1"/>
  <c r="A76" i="2" s="1"/>
  <c r="G24" i="9"/>
  <c r="G25" i="9"/>
  <c r="G26" i="9"/>
  <c r="G27" i="9"/>
  <c r="G28" i="9"/>
  <c r="G37" i="9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81" i="2"/>
  <c r="C141" i="2"/>
  <c r="A77" i="2" l="1"/>
  <c r="A78" i="2" s="1"/>
  <c r="A79" i="2" s="1"/>
  <c r="A80" i="2" s="1"/>
  <c r="A81" i="2" s="1"/>
  <c r="C180" i="2"/>
  <c r="C179" i="2"/>
  <c r="A82" i="2" l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G23" i="9"/>
  <c r="G22" i="9"/>
  <c r="G20" i="9"/>
  <c r="G11" i="9"/>
  <c r="G7" i="9"/>
  <c r="A5" i="9"/>
  <c r="A103" i="2" l="1"/>
  <c r="G41" i="9"/>
  <c r="G13" i="8"/>
  <c r="G18" i="8"/>
  <c r="D44" i="9"/>
  <c r="A104" i="2" l="1"/>
  <c r="G11" i="8"/>
  <c r="G26" i="8" s="1"/>
  <c r="A105" i="2" l="1"/>
  <c r="A106" i="2" s="1"/>
  <c r="A107" i="2" s="1"/>
  <c r="A108" i="2" s="1"/>
  <c r="A27" i="7"/>
  <c r="G39" i="6" l="1"/>
  <c r="D36" i="6"/>
  <c r="G35" i="6"/>
  <c r="A109" i="2" l="1"/>
  <c r="A110" i="2" s="1"/>
  <c r="A111" i="2" s="1"/>
  <c r="A112" i="2" s="1"/>
  <c r="A113" i="2" s="1"/>
  <c r="G44" i="6"/>
  <c r="D56" i="8"/>
  <c r="G48" i="8"/>
  <c r="A48" i="8"/>
  <c r="D44" i="8"/>
  <c r="D45" i="8" s="1"/>
  <c r="G44" i="8"/>
  <c r="G7" i="8"/>
  <c r="A42" i="8"/>
  <c r="A114" i="2" l="1"/>
  <c r="A115" i="2" s="1"/>
  <c r="A116" i="2" s="1"/>
  <c r="A117" i="2" s="1"/>
  <c r="A119" i="2" s="1"/>
  <c r="A120" i="2" s="1"/>
  <c r="A121" i="2" l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G33" i="7"/>
  <c r="G7" i="7"/>
  <c r="G7" i="6"/>
  <c r="A140" i="2" l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39" i="2"/>
  <c r="G40" i="5"/>
  <c r="G45" i="7" l="1"/>
  <c r="D48" i="7"/>
  <c r="C78" i="2" l="1"/>
  <c r="C80" i="2"/>
  <c r="C18" i="2" l="1"/>
  <c r="C76" i="2" l="1"/>
  <c r="C75" i="2"/>
  <c r="C72" i="2" l="1"/>
  <c r="C73" i="2" l="1"/>
  <c r="C74" i="2" l="1"/>
  <c r="C70" i="2" l="1"/>
  <c r="C71" i="2"/>
  <c r="C67" i="2" l="1"/>
  <c r="C66" i="2"/>
  <c r="C69" i="2"/>
  <c r="C68" i="2"/>
  <c r="C64" i="2" l="1"/>
  <c r="C63" i="2" l="1"/>
  <c r="C58" i="2" l="1"/>
  <c r="C62" i="2"/>
  <c r="C61" i="2"/>
  <c r="C97" i="2" l="1"/>
  <c r="C60" i="2"/>
  <c r="C96" i="2" l="1"/>
  <c r="C95" i="2" l="1"/>
  <c r="C57" i="2" l="1"/>
  <c r="C56" i="2" l="1"/>
  <c r="C37" i="2" l="1"/>
  <c r="C94" i="2" l="1"/>
  <c r="C93" i="2" l="1"/>
  <c r="C89" i="2" l="1"/>
  <c r="C55" i="2" l="1"/>
  <c r="C54" i="2" l="1"/>
  <c r="C87" i="2" l="1"/>
  <c r="C88" i="2"/>
  <c r="C83" i="2" l="1"/>
  <c r="C84" i="2"/>
  <c r="C85" i="2"/>
  <c r="C53" i="2" l="1"/>
  <c r="C52" i="2" l="1"/>
  <c r="C51" i="2"/>
  <c r="C59" i="2" l="1"/>
  <c r="C82" i="2"/>
  <c r="C49" i="2" l="1"/>
  <c r="C48" i="2" l="1"/>
  <c r="C46" i="2" l="1"/>
  <c r="C47" i="2" l="1"/>
  <c r="C43" i="2"/>
  <c r="C44" i="2"/>
  <c r="C45" i="2"/>
  <c r="C42" i="2"/>
  <c r="C39" i="2" l="1"/>
  <c r="C38" i="2"/>
  <c r="C40" i="2"/>
  <c r="C41" i="2"/>
  <c r="C36" i="2" l="1"/>
  <c r="C35" i="2" l="1"/>
  <c r="C34" i="2" l="1"/>
  <c r="C32" i="2"/>
  <c r="C31" i="2"/>
  <c r="C33" i="2"/>
  <c r="C30" i="2" l="1"/>
  <c r="C22" i="2"/>
  <c r="C23" i="2"/>
  <c r="C20" i="2" l="1"/>
  <c r="C21" i="2"/>
  <c r="C24" i="2"/>
  <c r="C26" i="2"/>
  <c r="C28" i="2"/>
  <c r="C27" i="2"/>
  <c r="C25" i="2"/>
  <c r="C29" i="2"/>
  <c r="C19" i="2" l="1"/>
  <c r="C15" i="2"/>
  <c r="C14" i="2"/>
  <c r="C17" i="2"/>
  <c r="C16" i="2"/>
  <c r="C3" i="2" l="1"/>
  <c r="C8" i="2"/>
  <c r="C7" i="2"/>
  <c r="C6" i="2"/>
  <c r="C5" i="2"/>
  <c r="C4" i="2"/>
  <c r="C13" i="2"/>
  <c r="C12" i="2"/>
  <c r="C10" i="2"/>
  <c r="C9" i="2"/>
  <c r="C11" i="2"/>
  <c r="C50" i="2" l="1"/>
</calcChain>
</file>

<file path=xl/sharedStrings.xml><?xml version="1.0" encoding="utf-8"?>
<sst xmlns="http://schemas.openxmlformats.org/spreadsheetml/2006/main" count="888" uniqueCount="296">
  <si>
    <t>BUKTI PEMBAYARAN</t>
  </si>
  <si>
    <t>Diterima dari</t>
  </si>
  <si>
    <t>Nama Pasien</t>
  </si>
  <si>
    <t>Nama Dokter</t>
  </si>
  <si>
    <t>Obat :</t>
  </si>
  <si>
    <t>Jasa   :</t>
  </si>
  <si>
    <t>Konsultasi Dokter</t>
  </si>
  <si>
    <t>USG 2D</t>
  </si>
  <si>
    <t>Prolacta For Mother</t>
  </si>
  <si>
    <t>Total Pembayaran</t>
  </si>
  <si>
    <t>Terbilang</t>
  </si>
  <si>
    <t xml:space="preserve">: </t>
  </si>
  <si>
    <t>Cara Pembayaran</t>
  </si>
  <si>
    <t>:</t>
  </si>
  <si>
    <t>Untuk Pembayaran</t>
  </si>
  <si>
    <t>:  dr. Maulia Mardini, SpOG, MARS</t>
  </si>
  <si>
    <t>Diterima oleh:</t>
  </si>
  <si>
    <t>Nunung Nurjanah</t>
  </si>
  <si>
    <t>Isoflavit</t>
  </si>
  <si>
    <t>Glutrop</t>
  </si>
  <si>
    <t>Mozuku</t>
  </si>
  <si>
    <t>Oxyvel</t>
  </si>
  <si>
    <t>Nutriflam</t>
  </si>
  <si>
    <t>Infusan NS</t>
  </si>
  <si>
    <t>Sporetik 200</t>
  </si>
  <si>
    <t>Trovensis</t>
  </si>
  <si>
    <t>Sanmol</t>
  </si>
  <si>
    <t>Caldece</t>
  </si>
  <si>
    <t>Sanvita-B</t>
  </si>
  <si>
    <t>Prove D3-1000</t>
  </si>
  <si>
    <t>Flasminex</t>
  </si>
  <si>
    <t>Floragyn</t>
  </si>
  <si>
    <t>Sagestam</t>
  </si>
  <si>
    <t>Apolar Desonide</t>
  </si>
  <si>
    <t>Tremenza</t>
  </si>
  <si>
    <t>Dopamet</t>
  </si>
  <si>
    <t>Rhinos</t>
  </si>
  <si>
    <t>Lactamam</t>
  </si>
  <si>
    <t>Nipvell</t>
  </si>
  <si>
    <t>Nasal Aspirator</t>
  </si>
  <si>
    <t>Cyclo-Progynova</t>
  </si>
  <si>
    <t>Nova T IUD</t>
  </si>
  <si>
    <t>Ultra Sonic Gel</t>
  </si>
  <si>
    <t>NO</t>
  </si>
  <si>
    <t>OBAT RESEP</t>
  </si>
  <si>
    <t>HARGA</t>
  </si>
  <si>
    <t>USG 4D</t>
  </si>
  <si>
    <t>Microgest 200 mg</t>
  </si>
  <si>
    <t>dr. maulia Mardini, SpOG, MARS,</t>
  </si>
  <si>
    <t>Papsmear</t>
  </si>
  <si>
    <t>Jl. Buana Indah No.61 Cihideung-Sadang-Purwakarta</t>
  </si>
  <si>
    <t>Telp : (0264)8464554 / 8464.0858.9003 (WA)</t>
  </si>
  <si>
    <t>Visanne Dienogest 2 mg</t>
  </si>
  <si>
    <t>Cash</t>
  </si>
  <si>
    <t>NO : 49/0422</t>
  </si>
  <si>
    <t xml:space="preserve">ny. Yesi </t>
  </si>
  <si>
    <t>Quatro</t>
  </si>
  <si>
    <t>Eazycal</t>
  </si>
  <si>
    <t>Promavit</t>
  </si>
  <si>
    <t>Trichodazol Ovula</t>
  </si>
  <si>
    <t>GOVAZOL 150 MG</t>
  </si>
  <si>
    <t>THECORRT CREAM 5 GR</t>
  </si>
  <si>
    <t>ZIBRAMAX 500 MG</t>
  </si>
  <si>
    <t>BIOFOLAT</t>
  </si>
  <si>
    <t>Nelandoz 2mg</t>
  </si>
  <si>
    <t>Sancoidan</t>
  </si>
  <si>
    <t>Curcuma Sanbe</t>
  </si>
  <si>
    <t>NSC</t>
  </si>
  <si>
    <t>Noprostol</t>
  </si>
  <si>
    <t>Cortidex</t>
  </si>
  <si>
    <t>Transvaginal</t>
  </si>
  <si>
    <t>Inspekulo</t>
  </si>
  <si>
    <t>Periksa dalam</t>
  </si>
  <si>
    <t>pcs</t>
  </si>
  <si>
    <t>Fuladic</t>
  </si>
  <si>
    <t>AL-QOYYUM CLINIC</t>
  </si>
  <si>
    <t>AL-QOYYUM ROYAL CLINIC</t>
  </si>
  <si>
    <t>Dismeno</t>
  </si>
  <si>
    <t>Kondom</t>
  </si>
  <si>
    <t>Testpack</t>
  </si>
  <si>
    <t>kasa</t>
  </si>
  <si>
    <t>GV Sedang</t>
  </si>
  <si>
    <t>GV Kecil</t>
  </si>
  <si>
    <t>Blesifen</t>
  </si>
  <si>
    <t>Regumen</t>
  </si>
  <si>
    <t xml:space="preserve">Jasa   </t>
  </si>
  <si>
    <t>Pot Urine</t>
  </si>
  <si>
    <t>AL- QOYYUM ROYAL CLINIC</t>
  </si>
  <si>
    <t>Obat</t>
  </si>
  <si>
    <t>Mefinal</t>
  </si>
  <si>
    <t>Pasang IUD</t>
  </si>
  <si>
    <t>Angkat IUD</t>
  </si>
  <si>
    <t>Alat</t>
  </si>
  <si>
    <t>Underpads</t>
  </si>
  <si>
    <t>Kasa Steril</t>
  </si>
  <si>
    <t>Cefixime</t>
  </si>
  <si>
    <t>Satu Juta Delapan Ratus Lima Puluh Dua Ribu Rupiah</t>
  </si>
  <si>
    <t>Irigasi Vagina</t>
  </si>
  <si>
    <t>Insersi IUD</t>
  </si>
  <si>
    <t>Ekstraksi IUD</t>
  </si>
  <si>
    <t>Injeksi</t>
  </si>
  <si>
    <t>USG 3D</t>
  </si>
  <si>
    <t>Biaya Tindakan</t>
  </si>
  <si>
    <t>Oxytocin inj</t>
  </si>
  <si>
    <t>ampul</t>
  </si>
  <si>
    <t>BHP</t>
  </si>
  <si>
    <t>Dokter Kandungan</t>
  </si>
  <si>
    <t>Dokter Anestesi &amp; Obat Anestesi</t>
  </si>
  <si>
    <t>Kasa</t>
  </si>
  <si>
    <t>Kateter</t>
  </si>
  <si>
    <t>Alkohol</t>
  </si>
  <si>
    <t>Abbocath</t>
  </si>
  <si>
    <t>Infus RL</t>
  </si>
  <si>
    <t>Blood Set</t>
  </si>
  <si>
    <t>Masker Nano karet</t>
  </si>
  <si>
    <t>Masker karet Santis</t>
  </si>
  <si>
    <t>Mikropore 2inch 3m</t>
  </si>
  <si>
    <t>Mikropore 1inch 3m</t>
  </si>
  <si>
    <t>Torniquet onemed</t>
  </si>
  <si>
    <t>Dermafix-T5x7cm OM</t>
  </si>
  <si>
    <t>Gunting Verban sakamed</t>
  </si>
  <si>
    <t>Masker KF94 Mouson</t>
  </si>
  <si>
    <t>Masker Karet anak GP Care</t>
  </si>
  <si>
    <t>Desinfektan 500 ml Snap</t>
  </si>
  <si>
    <t>Hanscoon Steril no.6,5 GP care</t>
  </si>
  <si>
    <t>Spuit 1 cc Hexacare</t>
  </si>
  <si>
    <t>Spuit 3 cc hexacare</t>
  </si>
  <si>
    <t>Spuit 5 cc hexacare</t>
  </si>
  <si>
    <t>Foley cath no.16 onehealth</t>
  </si>
  <si>
    <t>Urine Bag Hexacare</t>
  </si>
  <si>
    <t>Pot 50ml</t>
  </si>
  <si>
    <t>Mortar 100 MM Sella</t>
  </si>
  <si>
    <t>Ring Pesarium no.7</t>
  </si>
  <si>
    <t>Klip Plastik Obat Besar Indotik</t>
  </si>
  <si>
    <t>Handscoon 5 Safe Glove</t>
  </si>
  <si>
    <t>Masker Nebu Dewasa Hexacare</t>
  </si>
  <si>
    <t>Nasal 02 Dewasa Hexacare</t>
  </si>
  <si>
    <t>Tempat Korentang</t>
  </si>
  <si>
    <t>Korentang</t>
  </si>
  <si>
    <t>Alkohol SWAB Hexacare</t>
  </si>
  <si>
    <t>Ultrafix 5x5 Onemade</t>
  </si>
  <si>
    <t>My Jelly 82 gr Onemade</t>
  </si>
  <si>
    <t>Pulse Oximeter A2</t>
  </si>
  <si>
    <t>Inflo 18 Onemade</t>
  </si>
  <si>
    <t>Inflo 20 Onemade</t>
  </si>
  <si>
    <t>Inflo 22 Onemade</t>
  </si>
  <si>
    <t>Inflo 24 Onemade</t>
  </si>
  <si>
    <t>Threeway Stop Cock Buntut Hexacare</t>
  </si>
  <si>
    <t>Jelly USG 250 ml Hexacare</t>
  </si>
  <si>
    <t>Okeplast Plester</t>
  </si>
  <si>
    <t>Micropore 1/2 inch 3m</t>
  </si>
  <si>
    <t>Micropore 1 inch 3m</t>
  </si>
  <si>
    <t>Masker N95 1850 3M</t>
  </si>
  <si>
    <t>Masker Kf94 Careion</t>
  </si>
  <si>
    <t>Ceftriaxone sodium 1 G Inj</t>
  </si>
  <si>
    <t>Oxytocin Inj</t>
  </si>
  <si>
    <t>WI 20 Ml (Aqua Pro Injection)</t>
  </si>
  <si>
    <t>Tindakan Kuretasi</t>
  </si>
  <si>
    <t>Betadine</t>
  </si>
  <si>
    <t>Administrasi</t>
  </si>
  <si>
    <t>Jasa Keperawatan</t>
  </si>
  <si>
    <t>Tindakan Infus</t>
  </si>
  <si>
    <t>Spuit 5cc</t>
  </si>
  <si>
    <t>Spuit 1cc</t>
  </si>
  <si>
    <t>Albutrop</t>
  </si>
  <si>
    <t>Methylprednisolone</t>
  </si>
  <si>
    <t>Triamcinolone</t>
  </si>
  <si>
    <t>GV</t>
  </si>
  <si>
    <t>Obat &amp; Alkes</t>
  </si>
  <si>
    <t>Lima Juta Lima Ratus  Ribu Rupiah</t>
  </si>
  <si>
    <t>One Day Care</t>
  </si>
  <si>
    <t>Folamil Genio</t>
  </si>
  <si>
    <t>Loratadine</t>
  </si>
  <si>
    <t>Lidocain 20 mg</t>
  </si>
  <si>
    <t>Sucralfat Syruf</t>
  </si>
  <si>
    <t>Pumpisel Inj (serbuk)</t>
  </si>
  <si>
    <t>Trovensis Inj</t>
  </si>
  <si>
    <t>Neurosanbe</t>
  </si>
  <si>
    <t>Infusan RL</t>
  </si>
  <si>
    <t>Spluit 10 cc</t>
  </si>
  <si>
    <t>Spluit 5 cc</t>
  </si>
  <si>
    <t>Alkohol Swab</t>
  </si>
  <si>
    <t>Ondavell</t>
  </si>
  <si>
    <t>Satu Juta Tujuh Puluh Sembilan Ribu Rupiah</t>
  </si>
  <si>
    <t>Maltofer</t>
  </si>
  <si>
    <t>No. SIPD : 446/SIPD-1785/DPMPTSP/2022</t>
  </si>
  <si>
    <t>NO : 249/1022</t>
  </si>
  <si>
    <t>Bledstop</t>
  </si>
  <si>
    <t>Lima Juta Lima Ratus Ribu Rupiah</t>
  </si>
  <si>
    <t>Day-Cal</t>
  </si>
  <si>
    <t>Fermom</t>
  </si>
  <si>
    <t>09 Oktober 2022</t>
  </si>
  <si>
    <t>Tindakan Kuretase</t>
  </si>
  <si>
    <t>Fetik Suppositoria</t>
  </si>
  <si>
    <t>Hilim Ristiani</t>
  </si>
  <si>
    <t>: Ny.</t>
  </si>
  <si>
    <t xml:space="preserve">:  dr. </t>
  </si>
  <si>
    <t>Maulia Mardini, SpOG, MARS,</t>
  </si>
  <si>
    <t>Tuzalos</t>
  </si>
  <si>
    <t>Ranitidine</t>
  </si>
  <si>
    <t>Plasminex</t>
  </si>
  <si>
    <t>Salgen Oint</t>
  </si>
  <si>
    <t>Microlax</t>
  </si>
  <si>
    <t xml:space="preserve"> </t>
  </si>
  <si>
    <t>Jasa Tindakan</t>
  </si>
  <si>
    <t>Alat Kesehatan</t>
  </si>
  <si>
    <t>Ruangan</t>
  </si>
  <si>
    <t>Lain-lain</t>
  </si>
  <si>
    <t>Total</t>
  </si>
  <si>
    <t>Tujuh Juta Lima Ratus Ribu Rupiah</t>
  </si>
  <si>
    <t>Sinta Yunita</t>
  </si>
  <si>
    <t>Periksa Dalam</t>
  </si>
  <si>
    <t>Alkes</t>
  </si>
  <si>
    <t>4x</t>
  </si>
  <si>
    <t>Lima Ratus Ribu Rupiah</t>
  </si>
  <si>
    <t>maulia Mardini, SpOG, MARS,</t>
  </si>
  <si>
    <t>Fitri Yulianti</t>
  </si>
  <si>
    <t>Potongan</t>
  </si>
  <si>
    <t>Satu Juta Enam Ratus Enam Puluh Lima Ribu Rupiah</t>
  </si>
  <si>
    <t>NO : 399/0223</t>
  </si>
  <si>
    <t>Endrolin</t>
  </si>
  <si>
    <t>KingVit</t>
  </si>
  <si>
    <t>QueenVit</t>
  </si>
  <si>
    <t>Ondansetron</t>
  </si>
  <si>
    <t>Risma Komala</t>
  </si>
  <si>
    <t>Satu Juta Tujuh Ratus Delapan Puluh Lima Ribu Rupiah</t>
  </si>
  <si>
    <t>Stretchwell</t>
  </si>
  <si>
    <t>Urotractin</t>
  </si>
  <si>
    <t>Jasa</t>
  </si>
  <si>
    <t>Cerini</t>
  </si>
  <si>
    <t>Clindamycin</t>
  </si>
  <si>
    <t>Sanadryl Expectoran</t>
  </si>
  <si>
    <t>Sanadryl DMP</t>
  </si>
  <si>
    <t>NO : 560/0423</t>
  </si>
  <si>
    <t>: Drg.</t>
  </si>
  <si>
    <t>Aghnia Khairunnisa A</t>
  </si>
  <si>
    <t>Ondavar</t>
  </si>
  <si>
    <t>Anisa SPD</t>
  </si>
  <si>
    <t>Desi Yulinda</t>
  </si>
  <si>
    <t>NO : 577/0523</t>
  </si>
  <si>
    <t>Satu Juta Lima Ratus Delapan Puluh Lima Ribu Rupiah</t>
  </si>
  <si>
    <t>Primolut</t>
  </si>
  <si>
    <t>Yasmin</t>
  </si>
  <si>
    <t>Novenyl</t>
  </si>
  <si>
    <t>Forti D2000</t>
  </si>
  <si>
    <t>Oxofarin</t>
  </si>
  <si>
    <t>Ondane</t>
  </si>
  <si>
    <t>: Tn.</t>
  </si>
  <si>
    <t>Samijo</t>
  </si>
  <si>
    <t>Nunung Nurhasanah</t>
  </si>
  <si>
    <t>Metvell</t>
  </si>
  <si>
    <t>Caloma</t>
  </si>
  <si>
    <t>Pcs</t>
  </si>
  <si>
    <t>Prove D3-5000</t>
  </si>
  <si>
    <t>FREE</t>
  </si>
  <si>
    <t>Tujuh Ratus Lima</t>
  </si>
  <si>
    <t>Cefadroxil</t>
  </si>
  <si>
    <t>Nabilah Ali Bajri</t>
  </si>
  <si>
    <t xml:space="preserve">  </t>
  </si>
  <si>
    <t>Vagistin</t>
  </si>
  <si>
    <t xml:space="preserve">                                                          </t>
  </si>
  <si>
    <t>Feroplus</t>
  </si>
  <si>
    <t>Profertil</t>
  </si>
  <si>
    <t>Hethylpred</t>
  </si>
  <si>
    <t>Epexol</t>
  </si>
  <si>
    <t>Espreson</t>
  </si>
  <si>
    <t>Bioplacenton 15</t>
  </si>
  <si>
    <t>Trhombophob 20</t>
  </si>
  <si>
    <t>Diatabs</t>
  </si>
  <si>
    <t>Cepat</t>
  </si>
  <si>
    <t>Lodia</t>
  </si>
  <si>
    <t>Sintia Nur Ningrum</t>
  </si>
  <si>
    <t>NO :339/0825</t>
  </si>
  <si>
    <t>Widya Ningsih Sudarman</t>
  </si>
  <si>
    <t>Dermafix 5x7</t>
  </si>
  <si>
    <t>Hecosan</t>
  </si>
  <si>
    <t>Constuloz</t>
  </si>
  <si>
    <t>Kalnex</t>
  </si>
  <si>
    <t>Magsivell</t>
  </si>
  <si>
    <t>Kalgestin</t>
  </si>
  <si>
    <t>Buku KIA</t>
  </si>
  <si>
    <t>Kaltrofen</t>
  </si>
  <si>
    <t>Intunal F</t>
  </si>
  <si>
    <t>Cipro</t>
  </si>
  <si>
    <t>`</t>
  </si>
  <si>
    <t>Zoltin</t>
  </si>
  <si>
    <t>Telp : (0264)8464554 / 0813.1314.8633 (WA)</t>
  </si>
  <si>
    <t>Lab</t>
  </si>
  <si>
    <t>Glukosa Sewaktu</t>
  </si>
  <si>
    <t>HBsAG</t>
  </si>
  <si>
    <t>Hematologi Rutin</t>
  </si>
  <si>
    <t>Prove D</t>
  </si>
  <si>
    <t>Eti Apriyani</t>
  </si>
  <si>
    <t>Yayuk Novita Dewi</t>
  </si>
  <si>
    <t>NO : 367/1026</t>
  </si>
  <si>
    <t>Pembalut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</si>
</sst>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Rp&quot;* #,##0_-;\-&quot;Rp&quot;* #,##0_-;_-&quot;Rp&quot;* &quot;-&quot;_-;_-@_-"/>
    <numFmt numFmtId="164" formatCode="_-[$Rp-3809]* #,##0.00_-;\-[$Rp-3809]* #,##0.00_-;_-[$Rp-3809]* &quot;-&quot;??_-;_-@_-"/>
    <numFmt numFmtId="165" formatCode="_-[$Rp-421]* #,##0.00_-;\-[$Rp-421]* #,##0.00_-;_-[$Rp-421]* &quot;-&quot;??_-;_-@_-"/>
    <numFmt numFmtId="166" formatCode="[$-421]dd\ mmmm\ yyyy;@"/>
    <numFmt numFmtId="167" formatCode="@\ * &quot;:&quot;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 val="singleAccounting"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8" tint="0.59999389629810485"/>
        <bgColor theme="8" tint="0.59999389629810485"/>
      </patternFill>
    </fill>
  </fills>
  <borders count="14">
    <border>
      <left/>
      <right/>
      <top/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ashDotDot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59">
    <xf numFmtId="0" fontId="0" fillId="0" borderId="0" xfId="0"/>
    <xf numFmtId="164" fontId="0" fillId="0" borderId="0" xfId="1" applyNumberFormat="1" applyFont="1"/>
    <xf numFmtId="0" fontId="0" fillId="2" borderId="0" xfId="0" applyFill="1"/>
    <xf numFmtId="0" fontId="0" fillId="2" borderId="2" xfId="0" applyFill="1" applyBorder="1"/>
    <xf numFmtId="165" fontId="0" fillId="2" borderId="3" xfId="0" applyNumberFormat="1" applyFill="1" applyBorder="1"/>
    <xf numFmtId="0" fontId="0" fillId="2" borderId="4" xfId="0" applyFill="1" applyBorder="1"/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2" borderId="8" xfId="0" applyFill="1" applyBorder="1"/>
    <xf numFmtId="0" fontId="0" fillId="2" borderId="9" xfId="0" applyFill="1" applyBorder="1"/>
    <xf numFmtId="0" fontId="3" fillId="0" borderId="0" xfId="0" applyFont="1"/>
    <xf numFmtId="0" fontId="3" fillId="0" borderId="0" xfId="0" applyFont="1" applyAlignment="1">
      <alignment horizontal="right"/>
    </xf>
    <xf numFmtId="166" fontId="3" fillId="0" borderId="0" xfId="0" applyNumberFormat="1" applyFont="1"/>
    <xf numFmtId="164" fontId="3" fillId="0" borderId="0" xfId="0" applyNumberFormat="1" applyFont="1"/>
    <xf numFmtId="164" fontId="4" fillId="0" borderId="0" xfId="0" applyNumberFormat="1" applyFont="1"/>
    <xf numFmtId="0" fontId="4" fillId="0" borderId="0" xfId="0" applyFont="1"/>
    <xf numFmtId="0" fontId="0" fillId="0" borderId="0" xfId="0" applyFont="1"/>
    <xf numFmtId="0" fontId="0" fillId="0" borderId="0" xfId="0" applyFont="1" applyAlignment="1">
      <alignment horizontal="left"/>
    </xf>
    <xf numFmtId="164" fontId="0" fillId="0" borderId="0" xfId="0" applyNumberFormat="1" applyFont="1"/>
    <xf numFmtId="164" fontId="5" fillId="0" borderId="0" xfId="0" applyNumberFormat="1" applyFont="1"/>
    <xf numFmtId="164" fontId="0" fillId="0" borderId="0" xfId="0" applyNumberFormat="1" applyFont="1" applyBorder="1"/>
    <xf numFmtId="0" fontId="0" fillId="4" borderId="4" xfId="0" applyFill="1" applyBorder="1"/>
    <xf numFmtId="165" fontId="0" fillId="4" borderId="3" xfId="0" applyNumberFormat="1" applyFill="1" applyBorder="1"/>
    <xf numFmtId="165" fontId="0" fillId="4" borderId="4" xfId="0" applyNumberFormat="1" applyFill="1" applyBorder="1"/>
    <xf numFmtId="164" fontId="0" fillId="4" borderId="4" xfId="0" applyNumberFormat="1" applyFill="1" applyBorder="1"/>
    <xf numFmtId="0" fontId="0" fillId="5" borderId="4" xfId="0" applyFill="1" applyBorder="1"/>
    <xf numFmtId="164" fontId="5" fillId="0" borderId="0" xfId="1" applyNumberFormat="1" applyFont="1"/>
    <xf numFmtId="0" fontId="3" fillId="0" borderId="10" xfId="0" applyFont="1" applyBorder="1"/>
    <xf numFmtId="0" fontId="0" fillId="6" borderId="0" xfId="0" applyFill="1" applyBorder="1" applyAlignment="1">
      <alignment horizontal="center" vertical="center"/>
    </xf>
    <xf numFmtId="0" fontId="0" fillId="6" borderId="0" xfId="0" applyFill="1"/>
    <xf numFmtId="164" fontId="0" fillId="6" borderId="0" xfId="0" applyNumberFormat="1" applyFill="1"/>
    <xf numFmtId="164" fontId="6" fillId="0" borderId="0" xfId="1" applyNumberFormat="1" applyFont="1"/>
    <xf numFmtId="0" fontId="3" fillId="0" borderId="11" xfId="0" applyFont="1" applyBorder="1"/>
    <xf numFmtId="164" fontId="0" fillId="4" borderId="4" xfId="1" applyNumberFormat="1" applyFont="1" applyFill="1" applyBorder="1"/>
    <xf numFmtId="0" fontId="0" fillId="0" borderId="0" xfId="0" applyFont="1" applyAlignment="1">
      <alignment horizontal="right"/>
    </xf>
    <xf numFmtId="164" fontId="0" fillId="5" borderId="4" xfId="0" applyNumberFormat="1" applyFill="1" applyBorder="1"/>
    <xf numFmtId="167" fontId="0" fillId="0" borderId="0" xfId="0" applyNumberFormat="1" applyFont="1"/>
    <xf numFmtId="164" fontId="1" fillId="0" borderId="0" xfId="1" applyNumberFormat="1" applyFont="1"/>
    <xf numFmtId="164" fontId="7" fillId="0" borderId="0" xfId="0" applyNumberFormat="1" applyFont="1"/>
    <xf numFmtId="0" fontId="0" fillId="0" borderId="0" xfId="0" applyBorder="1" applyAlignment="1"/>
    <xf numFmtId="0" fontId="2" fillId="0" borderId="0" xfId="0" applyFont="1" applyBorder="1" applyAlignment="1"/>
    <xf numFmtId="0" fontId="3" fillId="0" borderId="0" xfId="0" applyFont="1" applyBorder="1" applyAlignment="1"/>
    <xf numFmtId="166" fontId="3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0" fontId="4" fillId="0" borderId="0" xfId="0" applyFont="1" applyAlignment="1">
      <alignment horizontal="center"/>
    </xf>
    <xf numFmtId="0" fontId="0" fillId="7" borderId="0" xfId="0" applyFont="1" applyFill="1" applyBorder="1" applyAlignment="1">
      <alignment wrapText="1"/>
    </xf>
    <xf numFmtId="164" fontId="6" fillId="0" borderId="0" xfId="0" applyNumberFormat="1" applyFont="1"/>
    <xf numFmtId="165" fontId="0" fillId="6" borderId="0" xfId="0" applyNumberFormat="1" applyFill="1"/>
    <xf numFmtId="0" fontId="3" fillId="7" borderId="0" xfId="0" applyFont="1" applyFill="1" applyBorder="1" applyAlignment="1">
      <alignment horizontal="left"/>
    </xf>
    <xf numFmtId="0" fontId="0" fillId="8" borderId="13" xfId="0" applyFont="1" applyFill="1" applyBorder="1"/>
    <xf numFmtId="164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12" xfId="0" applyBorder="1" applyAlignment="1">
      <alignment horizontal="center"/>
    </xf>
    <xf numFmtId="167" fontId="0" fillId="0" borderId="0" xfId="0" applyNumberFormat="1" applyFont="1" applyAlignment="1">
      <alignment horizontal="center"/>
    </xf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342901</xdr:colOff>
      <xdr:row>33</xdr:row>
      <xdr:rowOff>47625</xdr:rowOff>
    </xdr:from>
    <xdr:ext cx="714374" cy="485775"/>
    <xdr:pic>
      <xdr:nvPicPr>
        <xdr:cNvPr id="2" name="Picture 1">
          <a:extLst>
            <a:ext uri="{FF2B5EF4-FFF2-40B4-BE49-F238E27FC236}">
              <a16:creationId xmlns:a16="http://schemas.microsoft.com/office/drawing/2014/main" id="{5BDC6520-BB38-4281-88AB-C626FA48545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1" y="5153025"/>
          <a:ext cx="714374" cy="4857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371476</xdr:colOff>
      <xdr:row>0</xdr:row>
      <xdr:rowOff>19051</xdr:rowOff>
    </xdr:from>
    <xdr:ext cx="685799" cy="495299"/>
    <xdr:pic>
      <xdr:nvPicPr>
        <xdr:cNvPr id="3" name="Picture 2">
          <a:extLst>
            <a:ext uri="{FF2B5EF4-FFF2-40B4-BE49-F238E27FC236}">
              <a16:creationId xmlns:a16="http://schemas.microsoft.com/office/drawing/2014/main" id="{768C2474-3314-40C7-B4FC-7A37C2B5BCC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6" y="19051"/>
          <a:ext cx="685799" cy="49529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371476</xdr:colOff>
      <xdr:row>33</xdr:row>
      <xdr:rowOff>19051</xdr:rowOff>
    </xdr:from>
    <xdr:ext cx="685799" cy="495299"/>
    <xdr:pic>
      <xdr:nvPicPr>
        <xdr:cNvPr id="5" name="Picture 4">
          <a:extLst>
            <a:ext uri="{FF2B5EF4-FFF2-40B4-BE49-F238E27FC236}">
              <a16:creationId xmlns:a16="http://schemas.microsoft.com/office/drawing/2014/main" id="{A3F656D6-E1B6-4382-99F1-B2FF2DBAA9A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6" y="19051"/>
          <a:ext cx="685799" cy="4952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342901</xdr:colOff>
      <xdr:row>28</xdr:row>
      <xdr:rowOff>47625</xdr:rowOff>
    </xdr:from>
    <xdr:ext cx="714374" cy="485775"/>
    <xdr:pic>
      <xdr:nvPicPr>
        <xdr:cNvPr id="2" name="Picture 1">
          <a:extLst>
            <a:ext uri="{FF2B5EF4-FFF2-40B4-BE49-F238E27FC236}">
              <a16:creationId xmlns:a16="http://schemas.microsoft.com/office/drawing/2014/main" id="{A5D1D100-5658-4549-B4EB-BC1DD7647D4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1" y="5181600"/>
          <a:ext cx="714374" cy="4857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371476</xdr:colOff>
      <xdr:row>0</xdr:row>
      <xdr:rowOff>19051</xdr:rowOff>
    </xdr:from>
    <xdr:ext cx="685799" cy="495299"/>
    <xdr:pic>
      <xdr:nvPicPr>
        <xdr:cNvPr id="3" name="Picture 2">
          <a:extLst>
            <a:ext uri="{FF2B5EF4-FFF2-40B4-BE49-F238E27FC236}">
              <a16:creationId xmlns:a16="http://schemas.microsoft.com/office/drawing/2014/main" id="{6F5B1D50-2022-45E6-B2FD-03692E6A9F4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6" y="19051"/>
          <a:ext cx="685799" cy="49529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371476</xdr:colOff>
      <xdr:row>28</xdr:row>
      <xdr:rowOff>19051</xdr:rowOff>
    </xdr:from>
    <xdr:ext cx="685799" cy="495299"/>
    <xdr:pic>
      <xdr:nvPicPr>
        <xdr:cNvPr id="4" name="Picture 3">
          <a:extLst>
            <a:ext uri="{FF2B5EF4-FFF2-40B4-BE49-F238E27FC236}">
              <a16:creationId xmlns:a16="http://schemas.microsoft.com/office/drawing/2014/main" id="{F8F2DF81-73C6-45E2-AC37-7E6A8BC9E68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6" y="5153026"/>
          <a:ext cx="685799" cy="4952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342901</xdr:colOff>
      <xdr:row>26</xdr:row>
      <xdr:rowOff>47625</xdr:rowOff>
    </xdr:from>
    <xdr:ext cx="714374" cy="485775"/>
    <xdr:pic>
      <xdr:nvPicPr>
        <xdr:cNvPr id="2" name="Picture 1">
          <a:extLst>
            <a:ext uri="{FF2B5EF4-FFF2-40B4-BE49-F238E27FC236}">
              <a16:creationId xmlns:a16="http://schemas.microsoft.com/office/drawing/2014/main" id="{0DE189E4-2C7E-4C6C-964E-81124872EAB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1" y="4800600"/>
          <a:ext cx="714374" cy="4857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371476</xdr:colOff>
      <xdr:row>0</xdr:row>
      <xdr:rowOff>19051</xdr:rowOff>
    </xdr:from>
    <xdr:ext cx="685799" cy="495299"/>
    <xdr:pic>
      <xdr:nvPicPr>
        <xdr:cNvPr id="3" name="Picture 2">
          <a:extLst>
            <a:ext uri="{FF2B5EF4-FFF2-40B4-BE49-F238E27FC236}">
              <a16:creationId xmlns:a16="http://schemas.microsoft.com/office/drawing/2014/main" id="{2CD286B1-6A6E-48C3-A0C3-6CB60B163F2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6" y="19051"/>
          <a:ext cx="685799" cy="49529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371476</xdr:colOff>
      <xdr:row>26</xdr:row>
      <xdr:rowOff>19051</xdr:rowOff>
    </xdr:from>
    <xdr:ext cx="685799" cy="495299"/>
    <xdr:pic>
      <xdr:nvPicPr>
        <xdr:cNvPr id="4" name="Picture 3">
          <a:extLst>
            <a:ext uri="{FF2B5EF4-FFF2-40B4-BE49-F238E27FC236}">
              <a16:creationId xmlns:a16="http://schemas.microsoft.com/office/drawing/2014/main" id="{618236C2-C7F6-49B9-AD43-D018784018C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6" y="4772026"/>
          <a:ext cx="685799" cy="4952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342901</xdr:colOff>
      <xdr:row>26</xdr:row>
      <xdr:rowOff>47625</xdr:rowOff>
    </xdr:from>
    <xdr:ext cx="714374" cy="485775"/>
    <xdr:pic>
      <xdr:nvPicPr>
        <xdr:cNvPr id="2" name="Picture 1">
          <a:extLst>
            <a:ext uri="{FF2B5EF4-FFF2-40B4-BE49-F238E27FC236}">
              <a16:creationId xmlns:a16="http://schemas.microsoft.com/office/drawing/2014/main" id="{3DC2D4D6-2D71-49C9-870E-A2567F1FC78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1" y="4972050"/>
          <a:ext cx="714374" cy="4857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371476</xdr:colOff>
      <xdr:row>0</xdr:row>
      <xdr:rowOff>19051</xdr:rowOff>
    </xdr:from>
    <xdr:ext cx="685799" cy="495299"/>
    <xdr:pic>
      <xdr:nvPicPr>
        <xdr:cNvPr id="3" name="Picture 2">
          <a:extLst>
            <a:ext uri="{FF2B5EF4-FFF2-40B4-BE49-F238E27FC236}">
              <a16:creationId xmlns:a16="http://schemas.microsoft.com/office/drawing/2014/main" id="{A1109ABD-FC09-44E5-9AC1-37D25EDE58D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6" y="19051"/>
          <a:ext cx="685799" cy="49529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371476</xdr:colOff>
      <xdr:row>26</xdr:row>
      <xdr:rowOff>19051</xdr:rowOff>
    </xdr:from>
    <xdr:ext cx="685799" cy="495299"/>
    <xdr:pic>
      <xdr:nvPicPr>
        <xdr:cNvPr id="4" name="Picture 3">
          <a:extLst>
            <a:ext uri="{FF2B5EF4-FFF2-40B4-BE49-F238E27FC236}">
              <a16:creationId xmlns:a16="http://schemas.microsoft.com/office/drawing/2014/main" id="{1DCAD919-EFED-44DA-A845-FBEBE7F6078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6" y="4943476"/>
          <a:ext cx="685799" cy="4952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342901</xdr:colOff>
      <xdr:row>28</xdr:row>
      <xdr:rowOff>47625</xdr:rowOff>
    </xdr:from>
    <xdr:ext cx="714374" cy="485775"/>
    <xdr:pic>
      <xdr:nvPicPr>
        <xdr:cNvPr id="2" name="Picture 1">
          <a:extLst>
            <a:ext uri="{FF2B5EF4-FFF2-40B4-BE49-F238E27FC236}">
              <a16:creationId xmlns:a16="http://schemas.microsoft.com/office/drawing/2014/main" id="{D3D7C0C9-9DE9-401D-89D2-AD3DA9215A5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7276" y="5419725"/>
          <a:ext cx="714374" cy="4857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371476</xdr:colOff>
      <xdr:row>0</xdr:row>
      <xdr:rowOff>19051</xdr:rowOff>
    </xdr:from>
    <xdr:ext cx="685799" cy="495299"/>
    <xdr:pic>
      <xdr:nvPicPr>
        <xdr:cNvPr id="3" name="Picture 2">
          <a:extLst>
            <a:ext uri="{FF2B5EF4-FFF2-40B4-BE49-F238E27FC236}">
              <a16:creationId xmlns:a16="http://schemas.microsoft.com/office/drawing/2014/main" id="{4E431C3D-BECF-43EA-9431-3547951B621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851" y="19051"/>
          <a:ext cx="685799" cy="49529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371476</xdr:colOff>
      <xdr:row>28</xdr:row>
      <xdr:rowOff>19051</xdr:rowOff>
    </xdr:from>
    <xdr:ext cx="685799" cy="495299"/>
    <xdr:pic>
      <xdr:nvPicPr>
        <xdr:cNvPr id="4" name="Picture 3">
          <a:extLst>
            <a:ext uri="{FF2B5EF4-FFF2-40B4-BE49-F238E27FC236}">
              <a16:creationId xmlns:a16="http://schemas.microsoft.com/office/drawing/2014/main" id="{1E6DC1EB-5BED-4B90-B026-9266123BED8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851" y="5391151"/>
          <a:ext cx="685799" cy="4952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342901</xdr:colOff>
      <xdr:row>32</xdr:row>
      <xdr:rowOff>47625</xdr:rowOff>
    </xdr:from>
    <xdr:ext cx="714374" cy="485775"/>
    <xdr:pic>
      <xdr:nvPicPr>
        <xdr:cNvPr id="2" name="Picture 1">
          <a:extLst>
            <a:ext uri="{FF2B5EF4-FFF2-40B4-BE49-F238E27FC236}">
              <a16:creationId xmlns:a16="http://schemas.microsoft.com/office/drawing/2014/main" id="{5644B517-1688-4C11-9EA7-96CA4F91CD5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1" y="5600700"/>
          <a:ext cx="714374" cy="4857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447676</xdr:colOff>
      <xdr:row>0</xdr:row>
      <xdr:rowOff>28576</xdr:rowOff>
    </xdr:from>
    <xdr:ext cx="685799" cy="495299"/>
    <xdr:pic>
      <xdr:nvPicPr>
        <xdr:cNvPr id="3" name="Picture 2">
          <a:extLst>
            <a:ext uri="{FF2B5EF4-FFF2-40B4-BE49-F238E27FC236}">
              <a16:creationId xmlns:a16="http://schemas.microsoft.com/office/drawing/2014/main" id="{20BB6710-DC23-42DD-867A-4F1FB305CC5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7276" y="28576"/>
          <a:ext cx="685799" cy="49529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371476</xdr:colOff>
      <xdr:row>32</xdr:row>
      <xdr:rowOff>19051</xdr:rowOff>
    </xdr:from>
    <xdr:ext cx="685799" cy="495299"/>
    <xdr:pic>
      <xdr:nvPicPr>
        <xdr:cNvPr id="4" name="Picture 3">
          <a:extLst>
            <a:ext uri="{FF2B5EF4-FFF2-40B4-BE49-F238E27FC236}">
              <a16:creationId xmlns:a16="http://schemas.microsoft.com/office/drawing/2014/main" id="{5EAF62EE-A71D-46AD-9DB7-428BC3CD898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6" y="5572126"/>
          <a:ext cx="685799" cy="4952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371476</xdr:colOff>
      <xdr:row>0</xdr:row>
      <xdr:rowOff>19051</xdr:rowOff>
    </xdr:from>
    <xdr:ext cx="685799" cy="495299"/>
    <xdr:pic>
      <xdr:nvPicPr>
        <xdr:cNvPr id="3" name="Picture 2">
          <a:extLst>
            <a:ext uri="{FF2B5EF4-FFF2-40B4-BE49-F238E27FC236}">
              <a16:creationId xmlns:a16="http://schemas.microsoft.com/office/drawing/2014/main" id="{2531CB3E-C2FD-4A99-BE16-66C5595F08D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6" y="19051"/>
          <a:ext cx="685799" cy="4952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342901</xdr:colOff>
      <xdr:row>37</xdr:row>
      <xdr:rowOff>47625</xdr:rowOff>
    </xdr:from>
    <xdr:ext cx="714374" cy="485775"/>
    <xdr:pic>
      <xdr:nvPicPr>
        <xdr:cNvPr id="2" name="Picture 1">
          <a:extLst>
            <a:ext uri="{FF2B5EF4-FFF2-40B4-BE49-F238E27FC236}">
              <a16:creationId xmlns:a16="http://schemas.microsoft.com/office/drawing/2014/main" id="{CDC209BF-D7E8-45CA-B901-BBFCD3B5D20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1" y="4800600"/>
          <a:ext cx="714374" cy="4857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371476</xdr:colOff>
      <xdr:row>0</xdr:row>
      <xdr:rowOff>19051</xdr:rowOff>
    </xdr:from>
    <xdr:ext cx="685799" cy="495299"/>
    <xdr:pic>
      <xdr:nvPicPr>
        <xdr:cNvPr id="3" name="Picture 2">
          <a:extLst>
            <a:ext uri="{FF2B5EF4-FFF2-40B4-BE49-F238E27FC236}">
              <a16:creationId xmlns:a16="http://schemas.microsoft.com/office/drawing/2014/main" id="{B3F42B3E-CA5D-4606-BE10-08C9F3C6F08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6" y="19051"/>
          <a:ext cx="685799" cy="49529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371476</xdr:colOff>
      <xdr:row>37</xdr:row>
      <xdr:rowOff>19051</xdr:rowOff>
    </xdr:from>
    <xdr:ext cx="685799" cy="495299"/>
    <xdr:pic>
      <xdr:nvPicPr>
        <xdr:cNvPr id="4" name="Picture 3">
          <a:extLst>
            <a:ext uri="{FF2B5EF4-FFF2-40B4-BE49-F238E27FC236}">
              <a16:creationId xmlns:a16="http://schemas.microsoft.com/office/drawing/2014/main" id="{6DCE3A66-84E4-4F80-A109-4F869BC51F1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6" y="4772026"/>
          <a:ext cx="685799" cy="4952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342901</xdr:colOff>
      <xdr:row>29</xdr:row>
      <xdr:rowOff>47625</xdr:rowOff>
    </xdr:from>
    <xdr:ext cx="714374" cy="485775"/>
    <xdr:pic>
      <xdr:nvPicPr>
        <xdr:cNvPr id="2" name="Picture 1">
          <a:extLst>
            <a:ext uri="{FF2B5EF4-FFF2-40B4-BE49-F238E27FC236}">
              <a16:creationId xmlns:a16="http://schemas.microsoft.com/office/drawing/2014/main" id="{0A70784E-E74C-4B45-84B4-E1D76B09C73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1" y="5191125"/>
          <a:ext cx="714374" cy="4857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371476</xdr:colOff>
      <xdr:row>0</xdr:row>
      <xdr:rowOff>19051</xdr:rowOff>
    </xdr:from>
    <xdr:ext cx="685799" cy="495299"/>
    <xdr:pic>
      <xdr:nvPicPr>
        <xdr:cNvPr id="3" name="Picture 2">
          <a:extLst>
            <a:ext uri="{FF2B5EF4-FFF2-40B4-BE49-F238E27FC236}">
              <a16:creationId xmlns:a16="http://schemas.microsoft.com/office/drawing/2014/main" id="{9A102BD0-C614-4BDE-BF5F-B522013ADD7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6" y="19051"/>
          <a:ext cx="685799" cy="49529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371476</xdr:colOff>
      <xdr:row>29</xdr:row>
      <xdr:rowOff>19051</xdr:rowOff>
    </xdr:from>
    <xdr:ext cx="685799" cy="495299"/>
    <xdr:pic>
      <xdr:nvPicPr>
        <xdr:cNvPr id="4" name="Picture 3">
          <a:extLst>
            <a:ext uri="{FF2B5EF4-FFF2-40B4-BE49-F238E27FC236}">
              <a16:creationId xmlns:a16="http://schemas.microsoft.com/office/drawing/2014/main" id="{2C973298-CFE5-4FC0-8999-B81BEAF9F98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6" y="5162551"/>
          <a:ext cx="685799" cy="4952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371476</xdr:colOff>
      <xdr:row>0</xdr:row>
      <xdr:rowOff>19051</xdr:rowOff>
    </xdr:from>
    <xdr:ext cx="685799" cy="495299"/>
    <xdr:pic>
      <xdr:nvPicPr>
        <xdr:cNvPr id="2" name="Picture 1">
          <a:extLst>
            <a:ext uri="{FF2B5EF4-FFF2-40B4-BE49-F238E27FC236}">
              <a16:creationId xmlns:a16="http://schemas.microsoft.com/office/drawing/2014/main" id="{BC6681E9-072A-4356-BF00-F37CC7F2260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6" y="19051"/>
          <a:ext cx="685799" cy="4952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342901</xdr:colOff>
      <xdr:row>30</xdr:row>
      <xdr:rowOff>47625</xdr:rowOff>
    </xdr:from>
    <xdr:ext cx="714374" cy="485775"/>
    <xdr:pic>
      <xdr:nvPicPr>
        <xdr:cNvPr id="2" name="Picture 1">
          <a:extLst>
            <a:ext uri="{FF2B5EF4-FFF2-40B4-BE49-F238E27FC236}">
              <a16:creationId xmlns:a16="http://schemas.microsoft.com/office/drawing/2014/main" id="{DEB56D7E-5D4E-48B3-9062-2935C56A02E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1" y="5000625"/>
          <a:ext cx="714374" cy="4857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371476</xdr:colOff>
      <xdr:row>0</xdr:row>
      <xdr:rowOff>19051</xdr:rowOff>
    </xdr:from>
    <xdr:ext cx="685799" cy="495299"/>
    <xdr:pic>
      <xdr:nvPicPr>
        <xdr:cNvPr id="3" name="Picture 2">
          <a:extLst>
            <a:ext uri="{FF2B5EF4-FFF2-40B4-BE49-F238E27FC236}">
              <a16:creationId xmlns:a16="http://schemas.microsoft.com/office/drawing/2014/main" id="{5F3C97B8-78BF-4DE5-8225-B3F3B8CA478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6" y="19051"/>
          <a:ext cx="685799" cy="49529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371476</xdr:colOff>
      <xdr:row>30</xdr:row>
      <xdr:rowOff>19051</xdr:rowOff>
    </xdr:from>
    <xdr:ext cx="685799" cy="495299"/>
    <xdr:pic>
      <xdr:nvPicPr>
        <xdr:cNvPr id="4" name="Picture 3">
          <a:extLst>
            <a:ext uri="{FF2B5EF4-FFF2-40B4-BE49-F238E27FC236}">
              <a16:creationId xmlns:a16="http://schemas.microsoft.com/office/drawing/2014/main" id="{A4AE7F21-AC9B-4543-BFA3-524D518FEF0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6" y="4972051"/>
          <a:ext cx="685799" cy="4952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371476</xdr:colOff>
      <xdr:row>0</xdr:row>
      <xdr:rowOff>19051</xdr:rowOff>
    </xdr:from>
    <xdr:ext cx="685799" cy="495299"/>
    <xdr:pic>
      <xdr:nvPicPr>
        <xdr:cNvPr id="2" name="Picture 1">
          <a:extLst>
            <a:ext uri="{FF2B5EF4-FFF2-40B4-BE49-F238E27FC236}">
              <a16:creationId xmlns:a16="http://schemas.microsoft.com/office/drawing/2014/main" id="{53F37C7F-F50B-4C14-AC9A-5470BEB5233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6" y="19051"/>
          <a:ext cx="685799" cy="4952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ddin%20Kombinasi%20Terbilang%20-%20Kelas%20Excel\Kombinasi%20Terbilang.xl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aftar%20Peersediaan%20Barang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FILE%20UMUM/Apotek%20Al-Qoyyum/Daftar%20Peersediaan%20Bara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ww.Kelasexcel.web.id"/>
    </sheetNames>
    <definedNames>
      <definedName name="terbilang"/>
    </defined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ftar produk"/>
      <sheetName val="harga obat"/>
      <sheetName val="harga non obat"/>
      <sheetName val="Jatuh Tempo"/>
      <sheetName val="Jatuh Tempo 1"/>
    </sheetNames>
    <sheetDataSet>
      <sheetData sheetId="0"/>
      <sheetData sheetId="1">
        <row r="5">
          <cell r="B5" t="str">
            <v>Quatro</v>
          </cell>
          <cell r="C5" t="str">
            <v>Tropica</v>
          </cell>
          <cell r="D5">
            <v>4107</v>
          </cell>
          <cell r="E5" t="str">
            <v>tablet</v>
          </cell>
          <cell r="F5">
            <v>451.77</v>
          </cell>
          <cell r="G5">
            <v>123.21</v>
          </cell>
          <cell r="H5">
            <v>4558.7700000000004</v>
          </cell>
          <cell r="I5">
            <v>1232.0999999999999</v>
          </cell>
          <cell r="J5">
            <v>5790.8700000000008</v>
          </cell>
          <cell r="K5">
            <v>5914.0800000000008</v>
          </cell>
        </row>
        <row r="6">
          <cell r="B6" t="str">
            <v>Isoflavit</v>
          </cell>
          <cell r="C6" t="str">
            <v>Tropica</v>
          </cell>
          <cell r="D6">
            <v>5500</v>
          </cell>
          <cell r="E6" t="str">
            <v>tablet</v>
          </cell>
          <cell r="F6">
            <v>605</v>
          </cell>
          <cell r="G6">
            <v>165</v>
          </cell>
          <cell r="H6">
            <v>6105</v>
          </cell>
          <cell r="I6">
            <v>1650</v>
          </cell>
          <cell r="J6">
            <v>7755</v>
          </cell>
          <cell r="K6">
            <v>7920</v>
          </cell>
        </row>
        <row r="7">
          <cell r="B7" t="str">
            <v>Glutrop</v>
          </cell>
          <cell r="C7" t="str">
            <v>Tropica</v>
          </cell>
          <cell r="D7">
            <v>18150</v>
          </cell>
          <cell r="E7" t="str">
            <v>tablet</v>
          </cell>
          <cell r="F7">
            <v>1996.5</v>
          </cell>
          <cell r="G7">
            <v>544.5</v>
          </cell>
          <cell r="H7">
            <v>20146.5</v>
          </cell>
          <cell r="I7">
            <v>5445</v>
          </cell>
          <cell r="J7">
            <v>25591.5</v>
          </cell>
          <cell r="K7">
            <v>26136</v>
          </cell>
        </row>
        <row r="8">
          <cell r="B8" t="str">
            <v>Mozuku</v>
          </cell>
          <cell r="C8" t="str">
            <v>Tropica</v>
          </cell>
          <cell r="D8">
            <v>75000</v>
          </cell>
          <cell r="E8" t="str">
            <v>botol</v>
          </cell>
          <cell r="F8">
            <v>8250</v>
          </cell>
          <cell r="G8">
            <v>2250</v>
          </cell>
          <cell r="H8">
            <v>83250</v>
          </cell>
          <cell r="I8">
            <v>22500</v>
          </cell>
          <cell r="J8">
            <v>105750</v>
          </cell>
          <cell r="K8">
            <v>108000</v>
          </cell>
        </row>
        <row r="9">
          <cell r="B9" t="str">
            <v>Prolacta For Mother</v>
          </cell>
          <cell r="C9" t="str">
            <v>Novell</v>
          </cell>
          <cell r="D9">
            <v>6105</v>
          </cell>
          <cell r="E9" t="str">
            <v>tablet</v>
          </cell>
          <cell r="F9">
            <v>671.55</v>
          </cell>
          <cell r="G9">
            <v>183.15</v>
          </cell>
          <cell r="H9">
            <v>6776.55</v>
          </cell>
          <cell r="I9">
            <v>1831.5</v>
          </cell>
          <cell r="J9">
            <v>8608.0499999999993</v>
          </cell>
          <cell r="K9">
            <v>8791.1999999999989</v>
          </cell>
        </row>
        <row r="10">
          <cell r="B10" t="str">
            <v>Oxyvel</v>
          </cell>
          <cell r="C10" t="str">
            <v>Novell</v>
          </cell>
          <cell r="D10">
            <v>5143</v>
          </cell>
          <cell r="E10" t="str">
            <v>tablet</v>
          </cell>
          <cell r="F10">
            <v>565.73</v>
          </cell>
          <cell r="G10">
            <v>154.29</v>
          </cell>
          <cell r="H10">
            <v>5708.73</v>
          </cell>
          <cell r="I10">
            <v>1542.8999999999999</v>
          </cell>
          <cell r="J10">
            <v>7251.6299999999992</v>
          </cell>
          <cell r="K10">
            <v>7405.9199999999992</v>
          </cell>
        </row>
        <row r="11">
          <cell r="B11" t="str">
            <v>Nutriflam</v>
          </cell>
          <cell r="C11" t="str">
            <v>Tropica</v>
          </cell>
          <cell r="D11">
            <v>13090</v>
          </cell>
          <cell r="E11" t="str">
            <v>tablet</v>
          </cell>
          <cell r="F11">
            <v>1439.9</v>
          </cell>
          <cell r="G11">
            <v>392.7</v>
          </cell>
          <cell r="H11">
            <v>14529.9</v>
          </cell>
          <cell r="I11">
            <v>3927</v>
          </cell>
          <cell r="J11">
            <v>18456.900000000001</v>
          </cell>
          <cell r="K11">
            <v>18849.600000000002</v>
          </cell>
        </row>
        <row r="12">
          <cell r="B12" t="str">
            <v>Infusan NS</v>
          </cell>
          <cell r="C12"/>
          <cell r="D12"/>
          <cell r="E12"/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</row>
        <row r="13">
          <cell r="B13" t="str">
            <v>Sporetik 200</v>
          </cell>
          <cell r="C13" t="str">
            <v>Sanbe</v>
          </cell>
          <cell r="D13">
            <v>29250</v>
          </cell>
          <cell r="E13" t="str">
            <v>tablet</v>
          </cell>
          <cell r="F13">
            <v>3217.5</v>
          </cell>
          <cell r="G13">
            <v>877.5</v>
          </cell>
          <cell r="H13">
            <v>32467.5</v>
          </cell>
          <cell r="I13">
            <v>8775</v>
          </cell>
          <cell r="J13">
            <v>41242.5</v>
          </cell>
          <cell r="K13">
            <v>42120</v>
          </cell>
        </row>
        <row r="14">
          <cell r="B14" t="str">
            <v>Trovensis</v>
          </cell>
          <cell r="C14" t="str">
            <v>Sanbe</v>
          </cell>
          <cell r="D14">
            <v>13875</v>
          </cell>
          <cell r="E14" t="str">
            <v>tablet</v>
          </cell>
          <cell r="F14">
            <v>1526.25</v>
          </cell>
          <cell r="G14">
            <v>416.25</v>
          </cell>
          <cell r="H14">
            <v>15401.25</v>
          </cell>
          <cell r="I14">
            <v>4162.5</v>
          </cell>
          <cell r="J14">
            <v>19563.75</v>
          </cell>
          <cell r="K14">
            <v>19980</v>
          </cell>
        </row>
        <row r="15">
          <cell r="B15" t="str">
            <v>Mefinal</v>
          </cell>
          <cell r="C15" t="str">
            <v>Sanbe</v>
          </cell>
          <cell r="D15">
            <v>16148</v>
          </cell>
          <cell r="E15" t="str">
            <v>tablet</v>
          </cell>
          <cell r="F15">
            <v>1776.28</v>
          </cell>
          <cell r="G15">
            <v>484.44</v>
          </cell>
          <cell r="H15">
            <v>17924.28</v>
          </cell>
          <cell r="I15">
            <v>4844.3999999999996</v>
          </cell>
          <cell r="J15">
            <v>22768.68</v>
          </cell>
          <cell r="K15">
            <v>23253.119999999999</v>
          </cell>
        </row>
        <row r="16">
          <cell r="B16" t="str">
            <v>Sanmol</v>
          </cell>
          <cell r="C16" t="str">
            <v>Sanbe</v>
          </cell>
          <cell r="D16">
            <v>528</v>
          </cell>
          <cell r="E16" t="str">
            <v>tablet</v>
          </cell>
          <cell r="F16">
            <v>58.08</v>
          </cell>
          <cell r="G16">
            <v>15.84</v>
          </cell>
          <cell r="H16">
            <v>586.08000000000004</v>
          </cell>
          <cell r="I16">
            <v>158.4</v>
          </cell>
          <cell r="J16">
            <v>744.48</v>
          </cell>
          <cell r="K16">
            <v>760.32</v>
          </cell>
        </row>
        <row r="17">
          <cell r="B17" t="str">
            <v>Caldece</v>
          </cell>
          <cell r="C17"/>
          <cell r="D17">
            <v>33000</v>
          </cell>
          <cell r="E17"/>
          <cell r="F17">
            <v>3630</v>
          </cell>
          <cell r="G17">
            <v>990</v>
          </cell>
          <cell r="H17">
            <v>36630</v>
          </cell>
          <cell r="I17">
            <v>9900</v>
          </cell>
          <cell r="J17">
            <v>46530</v>
          </cell>
          <cell r="K17">
            <v>47520</v>
          </cell>
        </row>
        <row r="18">
          <cell r="B18" t="str">
            <v>Sanvita-B</v>
          </cell>
          <cell r="C18" t="str">
            <v>Sanbe</v>
          </cell>
          <cell r="D18">
            <v>42700</v>
          </cell>
          <cell r="E18" t="str">
            <v>tube</v>
          </cell>
          <cell r="F18">
            <v>4697</v>
          </cell>
          <cell r="G18">
            <v>1281</v>
          </cell>
          <cell r="H18">
            <v>47397</v>
          </cell>
          <cell r="I18">
            <v>12810</v>
          </cell>
          <cell r="J18">
            <v>60207</v>
          </cell>
          <cell r="K18">
            <v>61488</v>
          </cell>
        </row>
        <row r="19">
          <cell r="B19" t="str">
            <v>Prove D3-1000</v>
          </cell>
          <cell r="C19" t="str">
            <v>Kalbe Farma</v>
          </cell>
          <cell r="D19">
            <v>3380</v>
          </cell>
          <cell r="E19"/>
          <cell r="F19">
            <v>371.8</v>
          </cell>
          <cell r="G19">
            <v>101.39999999999999</v>
          </cell>
          <cell r="H19">
            <v>3751.8</v>
          </cell>
          <cell r="I19">
            <v>1014</v>
          </cell>
          <cell r="J19">
            <v>4765.8</v>
          </cell>
          <cell r="K19">
            <v>4867.2</v>
          </cell>
        </row>
        <row r="20">
          <cell r="B20" t="str">
            <v>Plasminex</v>
          </cell>
          <cell r="C20" t="str">
            <v>Sanbe</v>
          </cell>
          <cell r="D20">
            <v>3100</v>
          </cell>
          <cell r="E20" t="str">
            <v>tablet</v>
          </cell>
          <cell r="F20">
            <v>341</v>
          </cell>
          <cell r="G20">
            <v>93</v>
          </cell>
          <cell r="H20">
            <v>3441</v>
          </cell>
          <cell r="I20">
            <v>930</v>
          </cell>
          <cell r="J20">
            <v>4371</v>
          </cell>
          <cell r="K20">
            <v>4464</v>
          </cell>
        </row>
        <row r="21">
          <cell r="B21" t="str">
            <v>Floragyn</v>
          </cell>
          <cell r="C21" t="str">
            <v>Lapi</v>
          </cell>
          <cell r="D21">
            <v>16650</v>
          </cell>
          <cell r="E21"/>
          <cell r="F21">
            <v>1831.5</v>
          </cell>
          <cell r="G21">
            <v>499.5</v>
          </cell>
          <cell r="H21">
            <v>18481.5</v>
          </cell>
          <cell r="I21">
            <v>4995</v>
          </cell>
          <cell r="J21">
            <v>23476.5</v>
          </cell>
          <cell r="K21">
            <v>23976</v>
          </cell>
        </row>
        <row r="22">
          <cell r="B22" t="str">
            <v>Microgest 200 mg</v>
          </cell>
          <cell r="C22" t="str">
            <v>Lapi</v>
          </cell>
          <cell r="D22">
            <v>25026.666666666668</v>
          </cell>
          <cell r="E22" t="str">
            <v>tablet</v>
          </cell>
          <cell r="F22">
            <v>2752.9333333333334</v>
          </cell>
          <cell r="G22">
            <v>750.8</v>
          </cell>
          <cell r="H22">
            <v>27779.600000000002</v>
          </cell>
          <cell r="I22">
            <v>7508</v>
          </cell>
          <cell r="J22">
            <v>35287.600000000006</v>
          </cell>
          <cell r="K22">
            <v>36038.400000000009</v>
          </cell>
        </row>
        <row r="23">
          <cell r="B23" t="str">
            <v>Sagestam</v>
          </cell>
          <cell r="C23" t="str">
            <v>Sanbe</v>
          </cell>
          <cell r="D23">
            <v>16000</v>
          </cell>
          <cell r="E23" t="str">
            <v>tube</v>
          </cell>
          <cell r="F23">
            <v>1760</v>
          </cell>
          <cell r="G23">
            <v>480</v>
          </cell>
          <cell r="H23">
            <v>17760</v>
          </cell>
          <cell r="I23">
            <v>4800</v>
          </cell>
          <cell r="J23">
            <v>22560</v>
          </cell>
          <cell r="K23">
            <v>23040</v>
          </cell>
        </row>
        <row r="24">
          <cell r="B24" t="str">
            <v>Apolar Desonide</v>
          </cell>
          <cell r="C24" t="str">
            <v>Actavis</v>
          </cell>
          <cell r="D24">
            <v>47100</v>
          </cell>
          <cell r="E24"/>
          <cell r="F24">
            <v>5181</v>
          </cell>
          <cell r="G24">
            <v>1413</v>
          </cell>
          <cell r="H24">
            <v>52281</v>
          </cell>
          <cell r="I24">
            <v>14130</v>
          </cell>
          <cell r="J24">
            <v>66411</v>
          </cell>
          <cell r="K24">
            <v>67824</v>
          </cell>
        </row>
        <row r="25">
          <cell r="B25" t="str">
            <v>Tremenza</v>
          </cell>
          <cell r="C25" t="str">
            <v>Sanbe</v>
          </cell>
          <cell r="D25">
            <v>2500</v>
          </cell>
          <cell r="E25"/>
          <cell r="F25">
            <v>275</v>
          </cell>
          <cell r="G25">
            <v>75</v>
          </cell>
          <cell r="H25">
            <v>2775</v>
          </cell>
          <cell r="I25">
            <v>750</v>
          </cell>
          <cell r="J25">
            <v>3525</v>
          </cell>
          <cell r="K25">
            <v>3600</v>
          </cell>
        </row>
        <row r="26">
          <cell r="B26" t="str">
            <v>Dopamet</v>
          </cell>
          <cell r="C26" t="str">
            <v>Actavis</v>
          </cell>
          <cell r="D26">
            <v>3000</v>
          </cell>
          <cell r="E26" t="str">
            <v>tablet</v>
          </cell>
          <cell r="F26">
            <v>330</v>
          </cell>
          <cell r="G26">
            <v>90</v>
          </cell>
          <cell r="H26">
            <v>3330</v>
          </cell>
          <cell r="I26">
            <v>900</v>
          </cell>
          <cell r="J26">
            <v>4230</v>
          </cell>
          <cell r="K26">
            <v>4320</v>
          </cell>
        </row>
        <row r="27">
          <cell r="B27" t="str">
            <v>Loratadine</v>
          </cell>
          <cell r="C27" t="str">
            <v>Promed</v>
          </cell>
          <cell r="D27">
            <v>450</v>
          </cell>
          <cell r="E27"/>
          <cell r="F27">
            <v>49.5</v>
          </cell>
          <cell r="G27">
            <v>13.5</v>
          </cell>
          <cell r="H27">
            <v>499.5</v>
          </cell>
          <cell r="I27">
            <v>135</v>
          </cell>
          <cell r="J27">
            <v>634.5</v>
          </cell>
          <cell r="K27">
            <v>648</v>
          </cell>
        </row>
        <row r="28">
          <cell r="B28" t="str">
            <v>Rhinos</v>
          </cell>
          <cell r="C28" t="str">
            <v>Dexa</v>
          </cell>
          <cell r="D28">
            <v>6800</v>
          </cell>
          <cell r="E28"/>
          <cell r="F28">
            <v>748</v>
          </cell>
          <cell r="G28">
            <v>204</v>
          </cell>
          <cell r="H28">
            <v>7548</v>
          </cell>
          <cell r="I28">
            <v>2040</v>
          </cell>
          <cell r="J28">
            <v>9588</v>
          </cell>
          <cell r="K28">
            <v>9792</v>
          </cell>
        </row>
        <row r="29">
          <cell r="B29" t="str">
            <v>Lactamam</v>
          </cell>
          <cell r="C29" t="str">
            <v>Novell</v>
          </cell>
          <cell r="D29">
            <v>2805</v>
          </cell>
          <cell r="E29" t="str">
            <v>tablet</v>
          </cell>
          <cell r="F29">
            <v>308.55</v>
          </cell>
          <cell r="G29">
            <v>84.149999999999991</v>
          </cell>
          <cell r="H29">
            <v>3113.55</v>
          </cell>
          <cell r="I29">
            <v>841.5</v>
          </cell>
          <cell r="J29">
            <v>3955.05</v>
          </cell>
          <cell r="K29">
            <v>4039.2000000000003</v>
          </cell>
        </row>
        <row r="30">
          <cell r="B30" t="str">
            <v>Nipvell</v>
          </cell>
          <cell r="C30" t="str">
            <v>Novell</v>
          </cell>
          <cell r="D30">
            <v>46750</v>
          </cell>
          <cell r="E30" t="str">
            <v>tube</v>
          </cell>
          <cell r="F30">
            <v>5142.5</v>
          </cell>
          <cell r="G30">
            <v>1402.5</v>
          </cell>
          <cell r="H30">
            <v>51892.5</v>
          </cell>
          <cell r="I30">
            <v>14025</v>
          </cell>
          <cell r="J30">
            <v>65917.5</v>
          </cell>
          <cell r="K30">
            <v>67320</v>
          </cell>
        </row>
        <row r="31">
          <cell r="B31" t="str">
            <v>Eazycal</v>
          </cell>
          <cell r="C31" t="str">
            <v>Novell</v>
          </cell>
          <cell r="D31">
            <v>6105</v>
          </cell>
          <cell r="E31" t="str">
            <v>tablet</v>
          </cell>
          <cell r="F31">
            <v>671.55</v>
          </cell>
          <cell r="G31">
            <v>183.15</v>
          </cell>
          <cell r="H31">
            <v>6776.55</v>
          </cell>
          <cell r="I31">
            <v>1831.5</v>
          </cell>
          <cell r="J31">
            <v>8608.0499999999993</v>
          </cell>
          <cell r="K31">
            <v>8791.1999999999989</v>
          </cell>
        </row>
        <row r="32">
          <cell r="B32" t="str">
            <v>Nasal Aspirator</v>
          </cell>
          <cell r="C32" t="str">
            <v>Baby Safe</v>
          </cell>
          <cell r="D32">
            <v>29750</v>
          </cell>
          <cell r="E32" t="str">
            <v>pcs</v>
          </cell>
          <cell r="F32">
            <v>3272.5</v>
          </cell>
          <cell r="G32">
            <v>892.5</v>
          </cell>
          <cell r="H32">
            <v>33022.5</v>
          </cell>
          <cell r="I32">
            <v>8925</v>
          </cell>
          <cell r="J32">
            <v>41947.5</v>
          </cell>
          <cell r="K32">
            <v>42840</v>
          </cell>
        </row>
        <row r="33">
          <cell r="B33" t="str">
            <v>Cyclo-Progynova</v>
          </cell>
          <cell r="C33" t="str">
            <v>Bayer</v>
          </cell>
          <cell r="D33">
            <v>216125</v>
          </cell>
          <cell r="E33" t="str">
            <v>dus(tablet)</v>
          </cell>
          <cell r="F33">
            <v>23773.75</v>
          </cell>
          <cell r="G33">
            <v>6483.75</v>
          </cell>
          <cell r="H33">
            <v>239898.75</v>
          </cell>
          <cell r="I33">
            <v>64837.5</v>
          </cell>
          <cell r="J33">
            <v>304736.25</v>
          </cell>
          <cell r="K33">
            <v>311220</v>
          </cell>
        </row>
        <row r="34">
          <cell r="B34" t="str">
            <v>Nova T IUD</v>
          </cell>
          <cell r="C34" t="str">
            <v>Bayer</v>
          </cell>
          <cell r="D34">
            <v>350000</v>
          </cell>
          <cell r="E34" t="str">
            <v>dus(set)</v>
          </cell>
          <cell r="F34">
            <v>38500</v>
          </cell>
          <cell r="G34">
            <v>10500</v>
          </cell>
          <cell r="H34">
            <v>388500</v>
          </cell>
          <cell r="I34">
            <v>105000</v>
          </cell>
          <cell r="J34">
            <v>493500</v>
          </cell>
          <cell r="K34">
            <v>504000</v>
          </cell>
        </row>
        <row r="35">
          <cell r="B35" t="str">
            <v>Ultra Sonic Gel</v>
          </cell>
          <cell r="C35" t="str">
            <v>Onemed</v>
          </cell>
          <cell r="D35">
            <v>21000</v>
          </cell>
          <cell r="E35" t="str">
            <v>Botol</v>
          </cell>
          <cell r="F35">
            <v>2310</v>
          </cell>
          <cell r="G35">
            <v>630</v>
          </cell>
          <cell r="H35">
            <v>23310</v>
          </cell>
          <cell r="I35">
            <v>6300</v>
          </cell>
          <cell r="J35">
            <v>29610</v>
          </cell>
          <cell r="K35">
            <v>30240</v>
          </cell>
        </row>
        <row r="36">
          <cell r="B36" t="str">
            <v>Promavit</v>
          </cell>
          <cell r="C36" t="str">
            <v>LAPI</v>
          </cell>
          <cell r="D36">
            <v>3850</v>
          </cell>
          <cell r="E36" t="str">
            <v>kapsul</v>
          </cell>
          <cell r="F36">
            <v>423.5</v>
          </cell>
          <cell r="G36">
            <v>115.5</v>
          </cell>
          <cell r="H36">
            <v>4273.5</v>
          </cell>
          <cell r="I36">
            <v>1155</v>
          </cell>
          <cell r="J36">
            <v>5428.5</v>
          </cell>
          <cell r="K36">
            <v>5544</v>
          </cell>
        </row>
        <row r="37">
          <cell r="B37" t="str">
            <v>Trichodazol Ovula</v>
          </cell>
          <cell r="C37"/>
          <cell r="D37">
            <v>17000</v>
          </cell>
          <cell r="E37"/>
          <cell r="F37">
            <v>1870</v>
          </cell>
          <cell r="G37">
            <v>510</v>
          </cell>
          <cell r="H37">
            <v>18870</v>
          </cell>
          <cell r="I37">
            <v>5100</v>
          </cell>
          <cell r="J37">
            <v>23970</v>
          </cell>
          <cell r="K37">
            <v>24480</v>
          </cell>
        </row>
        <row r="38">
          <cell r="B38" t="str">
            <v>FULADIC</v>
          </cell>
          <cell r="C38" t="str">
            <v>Guardian</v>
          </cell>
          <cell r="D38">
            <v>53000</v>
          </cell>
          <cell r="E38" t="str">
            <v>TUBE</v>
          </cell>
          <cell r="F38">
            <v>5830</v>
          </cell>
          <cell r="G38">
            <v>1590</v>
          </cell>
          <cell r="H38">
            <v>58830</v>
          </cell>
          <cell r="I38">
            <v>15900</v>
          </cell>
          <cell r="J38">
            <v>74730</v>
          </cell>
          <cell r="K38">
            <v>76320</v>
          </cell>
        </row>
        <row r="39">
          <cell r="B39" t="str">
            <v>GOVAZOL 150 MG</v>
          </cell>
          <cell r="C39" t="str">
            <v>Guardian</v>
          </cell>
          <cell r="D39">
            <v>225000</v>
          </cell>
          <cell r="E39" t="str">
            <v>BOX</v>
          </cell>
          <cell r="F39">
            <v>24750</v>
          </cell>
          <cell r="G39">
            <v>6750</v>
          </cell>
          <cell r="H39">
            <v>249750</v>
          </cell>
          <cell r="I39">
            <v>67500</v>
          </cell>
          <cell r="J39">
            <v>317250</v>
          </cell>
          <cell r="K39">
            <v>324000</v>
          </cell>
        </row>
        <row r="40">
          <cell r="B40" t="str">
            <v>THECORRT CREAM 5 GR</v>
          </cell>
          <cell r="C40" t="str">
            <v>Guardian</v>
          </cell>
          <cell r="D40">
            <v>54000</v>
          </cell>
          <cell r="E40" t="str">
            <v>TUBE</v>
          </cell>
          <cell r="F40">
            <v>5940</v>
          </cell>
          <cell r="G40">
            <v>1620</v>
          </cell>
          <cell r="H40">
            <v>59940</v>
          </cell>
          <cell r="I40">
            <v>16200</v>
          </cell>
          <cell r="J40">
            <v>76140</v>
          </cell>
          <cell r="K40">
            <v>77760</v>
          </cell>
        </row>
        <row r="41">
          <cell r="B41" t="str">
            <v>ZIBRAMAX 500 MG</v>
          </cell>
          <cell r="C41" t="str">
            <v>Guardian</v>
          </cell>
          <cell r="D41">
            <v>40000</v>
          </cell>
          <cell r="E41" t="str">
            <v>BOX</v>
          </cell>
          <cell r="F41">
            <v>4400</v>
          </cell>
          <cell r="G41">
            <v>1200</v>
          </cell>
          <cell r="H41">
            <v>44400</v>
          </cell>
          <cell r="I41">
            <v>12000</v>
          </cell>
          <cell r="J41">
            <v>56400</v>
          </cell>
          <cell r="K41">
            <v>57600</v>
          </cell>
        </row>
        <row r="42">
          <cell r="B42" t="str">
            <v>BIOFOLAT</v>
          </cell>
          <cell r="C42" t="str">
            <v>Nutrindo</v>
          </cell>
          <cell r="D42">
            <v>5550</v>
          </cell>
          <cell r="E42" t="str">
            <v>kapsul</v>
          </cell>
          <cell r="F42">
            <v>610.5</v>
          </cell>
          <cell r="G42">
            <v>166.5</v>
          </cell>
          <cell r="H42">
            <v>6160.5</v>
          </cell>
          <cell r="I42">
            <v>1665</v>
          </cell>
          <cell r="J42">
            <v>7825.5</v>
          </cell>
          <cell r="K42">
            <v>7992</v>
          </cell>
        </row>
        <row r="43">
          <cell r="B43" t="str">
            <v>Nelandoz 2mg</v>
          </cell>
          <cell r="C43" t="str">
            <v>FAHRENHEIT</v>
          </cell>
          <cell r="D43">
            <v>431000</v>
          </cell>
          <cell r="E43" t="str">
            <v>box</v>
          </cell>
          <cell r="F43">
            <v>47410</v>
          </cell>
          <cell r="G43">
            <v>12930</v>
          </cell>
          <cell r="H43">
            <v>478410</v>
          </cell>
          <cell r="I43">
            <v>129300</v>
          </cell>
          <cell r="J43">
            <v>607710</v>
          </cell>
          <cell r="K43">
            <v>620640</v>
          </cell>
        </row>
        <row r="44">
          <cell r="B44" t="str">
            <v>Sancoidan</v>
          </cell>
          <cell r="C44" t="str">
            <v>Sanbe</v>
          </cell>
          <cell r="D44">
            <v>16666.666666666668</v>
          </cell>
          <cell r="E44" t="str">
            <v>kapsul</v>
          </cell>
          <cell r="F44">
            <v>1833.3333333333335</v>
          </cell>
          <cell r="G44">
            <v>500</v>
          </cell>
          <cell r="H44">
            <v>18500</v>
          </cell>
          <cell r="I44">
            <v>5000</v>
          </cell>
          <cell r="J44">
            <v>23500</v>
          </cell>
          <cell r="K44">
            <v>24000</v>
          </cell>
        </row>
        <row r="45">
          <cell r="B45" t="str">
            <v>Curcuma Sanbe</v>
          </cell>
          <cell r="C45" t="str">
            <v>Sanbe</v>
          </cell>
          <cell r="D45">
            <v>880</v>
          </cell>
          <cell r="E45" t="str">
            <v>tablet</v>
          </cell>
          <cell r="F45">
            <v>96.8</v>
          </cell>
          <cell r="G45">
            <v>26.4</v>
          </cell>
          <cell r="H45">
            <v>976.8</v>
          </cell>
          <cell r="I45">
            <v>264</v>
          </cell>
          <cell r="J45">
            <v>1240.8</v>
          </cell>
          <cell r="K45">
            <v>1267.2</v>
          </cell>
        </row>
        <row r="46">
          <cell r="B46" t="str">
            <v>NSC</v>
          </cell>
          <cell r="C46" t="str">
            <v>Novell</v>
          </cell>
          <cell r="D46">
            <v>205700</v>
          </cell>
          <cell r="E46" t="str">
            <v>tube</v>
          </cell>
          <cell r="F46">
            <v>22627</v>
          </cell>
          <cell r="G46">
            <v>6171</v>
          </cell>
          <cell r="H46">
            <v>228327</v>
          </cell>
          <cell r="I46">
            <v>61710</v>
          </cell>
          <cell r="J46">
            <v>290037</v>
          </cell>
          <cell r="K46">
            <v>296208</v>
          </cell>
        </row>
        <row r="47">
          <cell r="B47" t="str">
            <v>Noprostol</v>
          </cell>
          <cell r="C47" t="str">
            <v>Novell</v>
          </cell>
          <cell r="D47">
            <v>10500</v>
          </cell>
          <cell r="E47" t="str">
            <v>tablet</v>
          </cell>
          <cell r="F47">
            <v>1155</v>
          </cell>
          <cell r="G47">
            <v>315</v>
          </cell>
          <cell r="H47">
            <v>11655</v>
          </cell>
          <cell r="I47">
            <v>3150</v>
          </cell>
          <cell r="J47">
            <v>14805</v>
          </cell>
          <cell r="K47">
            <v>15120</v>
          </cell>
        </row>
        <row r="48">
          <cell r="B48" t="str">
            <v>Cortidex</v>
          </cell>
          <cell r="C48" t="str">
            <v>Sanbe</v>
          </cell>
          <cell r="D48">
            <v>400</v>
          </cell>
          <cell r="E48" t="str">
            <v>tablet</v>
          </cell>
          <cell r="F48">
            <v>44</v>
          </cell>
          <cell r="G48">
            <v>12</v>
          </cell>
          <cell r="H48">
            <v>444</v>
          </cell>
          <cell r="I48">
            <v>120</v>
          </cell>
          <cell r="J48">
            <v>564</v>
          </cell>
          <cell r="K48">
            <v>576</v>
          </cell>
        </row>
        <row r="49">
          <cell r="B49" t="str">
            <v>Visanne Dienogest 2 mg</v>
          </cell>
          <cell r="C49" t="str">
            <v>Bayer</v>
          </cell>
          <cell r="D49">
            <v>21500</v>
          </cell>
          <cell r="E49" t="str">
            <v>tablet</v>
          </cell>
          <cell r="F49">
            <v>2365</v>
          </cell>
          <cell r="G49">
            <v>645</v>
          </cell>
          <cell r="H49">
            <v>23865</v>
          </cell>
          <cell r="I49">
            <v>6450</v>
          </cell>
          <cell r="J49">
            <v>30315</v>
          </cell>
          <cell r="K49">
            <v>30960</v>
          </cell>
        </row>
        <row r="50">
          <cell r="B50" t="str">
            <v>Dismeno</v>
          </cell>
          <cell r="C50" t="str">
            <v xml:space="preserve">Dexa </v>
          </cell>
          <cell r="D50">
            <v>4995</v>
          </cell>
          <cell r="E50" t="str">
            <v>tablet</v>
          </cell>
          <cell r="F50">
            <v>549.45000000000005</v>
          </cell>
          <cell r="G50">
            <v>149.85</v>
          </cell>
          <cell r="H50">
            <v>5544.45</v>
          </cell>
          <cell r="I50">
            <v>1498.5</v>
          </cell>
          <cell r="J50">
            <v>7042.95</v>
          </cell>
          <cell r="K50">
            <v>7192.8</v>
          </cell>
        </row>
        <row r="51">
          <cell r="B51" t="str">
            <v>Blesifen</v>
          </cell>
          <cell r="C51" t="str">
            <v>Clafi</v>
          </cell>
          <cell r="D51">
            <v>14319</v>
          </cell>
          <cell r="E51" t="str">
            <v>tablet</v>
          </cell>
          <cell r="F51">
            <v>1575.09</v>
          </cell>
          <cell r="G51">
            <v>429.57</v>
          </cell>
          <cell r="H51">
            <v>15894.09</v>
          </cell>
          <cell r="I51">
            <v>4295.7</v>
          </cell>
          <cell r="J51">
            <v>20189.79</v>
          </cell>
          <cell r="K51">
            <v>20619.36</v>
          </cell>
        </row>
        <row r="52">
          <cell r="B52" t="str">
            <v>Regumen</v>
          </cell>
          <cell r="C52" t="str">
            <v>Clafi</v>
          </cell>
          <cell r="D52">
            <v>4495.5</v>
          </cell>
          <cell r="E52" t="str">
            <v>tablet</v>
          </cell>
          <cell r="F52">
            <v>494.505</v>
          </cell>
          <cell r="G52">
            <v>134.86500000000001</v>
          </cell>
          <cell r="H52">
            <v>4990.0050000000001</v>
          </cell>
          <cell r="I52">
            <v>1348.6499999999999</v>
          </cell>
          <cell r="J52">
            <v>6338.6549999999997</v>
          </cell>
          <cell r="K52">
            <v>6473.5199999999995</v>
          </cell>
        </row>
        <row r="53">
          <cell r="B53" t="str">
            <v>Albutrop</v>
          </cell>
          <cell r="C53" t="str">
            <v>Tropica</v>
          </cell>
          <cell r="D53">
            <v>4995</v>
          </cell>
          <cell r="E53" t="str">
            <v>tablet</v>
          </cell>
          <cell r="F53">
            <v>549.45000000000005</v>
          </cell>
          <cell r="G53">
            <v>149.85</v>
          </cell>
          <cell r="H53">
            <v>5544.45</v>
          </cell>
          <cell r="I53">
            <v>1498.5</v>
          </cell>
          <cell r="J53">
            <v>7042.95</v>
          </cell>
          <cell r="K53">
            <v>7192.8</v>
          </cell>
        </row>
        <row r="54">
          <cell r="B54" t="str">
            <v>Folamil Genio</v>
          </cell>
          <cell r="C54" t="str">
            <v>Dexa</v>
          </cell>
          <cell r="D54">
            <v>141525</v>
          </cell>
          <cell r="E54" t="str">
            <v>Botol</v>
          </cell>
          <cell r="F54">
            <v>15567.75</v>
          </cell>
          <cell r="G54">
            <v>4245.75</v>
          </cell>
          <cell r="H54">
            <v>157092.75</v>
          </cell>
          <cell r="I54">
            <v>42457.5</v>
          </cell>
          <cell r="J54">
            <v>199550.25</v>
          </cell>
          <cell r="K54">
            <v>203796</v>
          </cell>
        </row>
        <row r="55">
          <cell r="B55" t="str">
            <v>Day-Cal</v>
          </cell>
          <cell r="C55" t="str">
            <v>Clafi</v>
          </cell>
          <cell r="D55">
            <v>2025.75</v>
          </cell>
          <cell r="E55" t="str">
            <v>tablet</v>
          </cell>
          <cell r="F55">
            <v>222.83250000000001</v>
          </cell>
          <cell r="G55">
            <v>60.772500000000001</v>
          </cell>
          <cell r="H55">
            <v>2248.5825</v>
          </cell>
          <cell r="I55">
            <v>607.72500000000002</v>
          </cell>
          <cell r="J55">
            <v>2856.3074999999999</v>
          </cell>
          <cell r="K55">
            <v>2917.08</v>
          </cell>
        </row>
        <row r="56">
          <cell r="B56" t="str">
            <v>Fermom</v>
          </cell>
          <cell r="C56" t="str">
            <v>Novell</v>
          </cell>
          <cell r="D56">
            <v>2201.5</v>
          </cell>
          <cell r="E56" t="str">
            <v>tablet</v>
          </cell>
          <cell r="F56">
            <v>242.16499999999999</v>
          </cell>
          <cell r="G56">
            <v>66.045000000000002</v>
          </cell>
          <cell r="H56">
            <v>2443.665</v>
          </cell>
          <cell r="I56">
            <v>660.44999999999993</v>
          </cell>
          <cell r="J56">
            <v>3104.1149999999998</v>
          </cell>
          <cell r="K56">
            <v>3170.16</v>
          </cell>
        </row>
        <row r="57">
          <cell r="B57" t="str">
            <v>Ondavell</v>
          </cell>
          <cell r="C57" t="str">
            <v>Novell</v>
          </cell>
          <cell r="D57">
            <v>16039.5</v>
          </cell>
          <cell r="E57" t="str">
            <v>tablet</v>
          </cell>
          <cell r="F57">
            <v>1764.345</v>
          </cell>
          <cell r="G57">
            <v>481.185</v>
          </cell>
          <cell r="H57">
            <v>17803.845000000001</v>
          </cell>
          <cell r="I57">
            <v>4811.8499999999995</v>
          </cell>
          <cell r="J57">
            <v>22615.695</v>
          </cell>
          <cell r="K57">
            <v>23096.880000000001</v>
          </cell>
        </row>
        <row r="58">
          <cell r="B58" t="str">
            <v>Cefadroxil</v>
          </cell>
          <cell r="C58" t="str">
            <v>Mepro</v>
          </cell>
          <cell r="D58">
            <v>745</v>
          </cell>
          <cell r="E58" t="str">
            <v>tablet</v>
          </cell>
          <cell r="F58">
            <v>81.95</v>
          </cell>
          <cell r="G58">
            <v>22.349999999999998</v>
          </cell>
          <cell r="H58">
            <v>826.95</v>
          </cell>
          <cell r="I58">
            <v>223.5</v>
          </cell>
          <cell r="J58">
            <v>1050.45</v>
          </cell>
          <cell r="K58">
            <v>1072.8</v>
          </cell>
        </row>
        <row r="59">
          <cell r="B59" t="str">
            <v>Ranitidine</v>
          </cell>
          <cell r="C59"/>
          <cell r="D59">
            <v>400</v>
          </cell>
          <cell r="E59" t="str">
            <v>tablet</v>
          </cell>
          <cell r="F59">
            <v>44</v>
          </cell>
          <cell r="G59">
            <v>12</v>
          </cell>
          <cell r="H59">
            <v>444</v>
          </cell>
          <cell r="I59">
            <v>120</v>
          </cell>
          <cell r="J59">
            <v>564</v>
          </cell>
          <cell r="K59">
            <v>576</v>
          </cell>
        </row>
        <row r="60">
          <cell r="B60" t="str">
            <v>Salgen Oint</v>
          </cell>
          <cell r="C60"/>
          <cell r="D60">
            <v>5400</v>
          </cell>
          <cell r="E60" t="str">
            <v>tube</v>
          </cell>
          <cell r="F60">
            <v>594</v>
          </cell>
          <cell r="G60">
            <v>162</v>
          </cell>
          <cell r="H60">
            <v>5994</v>
          </cell>
          <cell r="I60">
            <v>1620</v>
          </cell>
          <cell r="J60">
            <v>7614</v>
          </cell>
          <cell r="K60">
            <v>7776</v>
          </cell>
        </row>
        <row r="61">
          <cell r="B61" t="str">
            <v>Microlax</v>
          </cell>
          <cell r="C61"/>
          <cell r="D61">
            <v>19750</v>
          </cell>
          <cell r="E61" t="str">
            <v>Tube</v>
          </cell>
          <cell r="F61">
            <v>2172.5</v>
          </cell>
          <cell r="G61">
            <v>592.5</v>
          </cell>
          <cell r="H61">
            <v>21922.5</v>
          </cell>
          <cell r="I61">
            <v>5925</v>
          </cell>
          <cell r="J61">
            <v>27847.5</v>
          </cell>
          <cell r="K61">
            <v>28440</v>
          </cell>
        </row>
        <row r="62">
          <cell r="B62" t="str">
            <v>KingVit</v>
          </cell>
          <cell r="C62"/>
          <cell r="D62">
            <v>8153.9</v>
          </cell>
          <cell r="E62" t="str">
            <v>tablet</v>
          </cell>
          <cell r="F62">
            <v>896.92899999999997</v>
          </cell>
          <cell r="G62">
            <v>244.61699999999999</v>
          </cell>
          <cell r="H62">
            <v>9050.8289999999997</v>
          </cell>
          <cell r="I62">
            <v>2446.1699999999996</v>
          </cell>
          <cell r="J62">
            <v>11496.999</v>
          </cell>
          <cell r="K62">
            <v>11741.616</v>
          </cell>
        </row>
        <row r="63">
          <cell r="B63" t="str">
            <v>QueenVit</v>
          </cell>
          <cell r="C63"/>
          <cell r="D63">
            <v>8153.9</v>
          </cell>
          <cell r="E63" t="str">
            <v>tablet</v>
          </cell>
          <cell r="F63">
            <v>896.92899999999997</v>
          </cell>
          <cell r="G63">
            <v>244.61699999999999</v>
          </cell>
          <cell r="H63">
            <v>9050.8289999999997</v>
          </cell>
          <cell r="I63">
            <v>2446.1699999999996</v>
          </cell>
          <cell r="J63">
            <v>11496.999</v>
          </cell>
          <cell r="K63">
            <v>11741.616</v>
          </cell>
        </row>
        <row r="64">
          <cell r="B64" t="str">
            <v>Stretchwell</v>
          </cell>
          <cell r="C64"/>
          <cell r="D64">
            <v>207570</v>
          </cell>
          <cell r="E64" t="str">
            <v>Botol</v>
          </cell>
          <cell r="F64">
            <v>22832.7</v>
          </cell>
          <cell r="G64">
            <v>6227.0999999999995</v>
          </cell>
          <cell r="H64">
            <v>230402.7</v>
          </cell>
          <cell r="I64">
            <v>62271</v>
          </cell>
          <cell r="J64">
            <v>292673.7</v>
          </cell>
          <cell r="K64">
            <v>298900.8</v>
          </cell>
        </row>
        <row r="65">
          <cell r="B65" t="str">
            <v>Ondavar</v>
          </cell>
          <cell r="C65"/>
          <cell r="D65">
            <v>9251.15</v>
          </cell>
          <cell r="E65" t="str">
            <v>tablet</v>
          </cell>
          <cell r="F65">
            <v>1017.6265</v>
          </cell>
          <cell r="G65">
            <v>277.53449999999998</v>
          </cell>
          <cell r="H65">
            <v>10268.7765</v>
          </cell>
          <cell r="I65">
            <v>2775.3449999999998</v>
          </cell>
          <cell r="J65">
            <v>13044.121499999999</v>
          </cell>
          <cell r="K65">
            <v>13321.655999999999</v>
          </cell>
        </row>
        <row r="66">
          <cell r="B66" t="str">
            <v>Forti D2000</v>
          </cell>
          <cell r="C66"/>
          <cell r="D66">
            <v>2918.7285714285713</v>
          </cell>
          <cell r="E66" t="str">
            <v>kapsul</v>
          </cell>
          <cell r="F66">
            <v>321.06014285714286</v>
          </cell>
          <cell r="G66">
            <v>87.561857142857136</v>
          </cell>
          <cell r="H66">
            <v>3239.7887142857144</v>
          </cell>
          <cell r="I66">
            <v>875.61857142857139</v>
          </cell>
          <cell r="J66">
            <v>4115.4072857142855</v>
          </cell>
          <cell r="K66">
            <v>4202.9691428571423</v>
          </cell>
        </row>
        <row r="67">
          <cell r="B67" t="str">
            <v>Novenyl</v>
          </cell>
          <cell r="C67"/>
          <cell r="D67">
            <v>8963.2666666666664</v>
          </cell>
          <cell r="E67" t="str">
            <v>kapsul</v>
          </cell>
          <cell r="F67">
            <v>985.95933333333335</v>
          </cell>
          <cell r="G67">
            <v>268.89799999999997</v>
          </cell>
          <cell r="H67">
            <v>9949.2260000000006</v>
          </cell>
          <cell r="I67">
            <v>2688.98</v>
          </cell>
          <cell r="J67">
            <v>12638.206</v>
          </cell>
          <cell r="K67">
            <v>12907.103999999999</v>
          </cell>
        </row>
        <row r="68">
          <cell r="B68" t="str">
            <v>Primolut</v>
          </cell>
          <cell r="C68"/>
          <cell r="D68">
            <v>5974.583333333333</v>
          </cell>
          <cell r="E68"/>
          <cell r="F68">
            <v>657.20416666666665</v>
          </cell>
          <cell r="G68">
            <v>179.23749999999998</v>
          </cell>
          <cell r="H68">
            <v>6631.7874999999995</v>
          </cell>
          <cell r="I68">
            <v>1792.3749999999998</v>
          </cell>
          <cell r="J68">
            <v>8424.1624999999985</v>
          </cell>
          <cell r="K68">
            <v>8603.3999999999978</v>
          </cell>
        </row>
        <row r="69">
          <cell r="B69" t="str">
            <v>Yasmin</v>
          </cell>
          <cell r="C69"/>
          <cell r="D69">
            <v>4977.9285714285716</v>
          </cell>
          <cell r="E69"/>
          <cell r="F69">
            <v>547.57214285714292</v>
          </cell>
          <cell r="G69">
            <v>149.33785714285713</v>
          </cell>
          <cell r="H69">
            <v>5525.5007142857148</v>
          </cell>
          <cell r="I69">
            <v>1493.3785714285714</v>
          </cell>
          <cell r="J69">
            <v>7018.8792857142862</v>
          </cell>
          <cell r="K69">
            <v>7168.2171428571437</v>
          </cell>
        </row>
        <row r="70">
          <cell r="B70" t="str">
            <v>Hi-Bon</v>
          </cell>
          <cell r="C70"/>
          <cell r="D70">
            <v>149000</v>
          </cell>
          <cell r="E70"/>
          <cell r="F70">
            <v>16390</v>
          </cell>
          <cell r="G70">
            <v>4470</v>
          </cell>
          <cell r="H70">
            <v>165390</v>
          </cell>
          <cell r="I70">
            <v>44700</v>
          </cell>
          <cell r="J70">
            <v>210090</v>
          </cell>
          <cell r="K70">
            <v>214560</v>
          </cell>
        </row>
        <row r="71">
          <cell r="B71" t="str">
            <v>Ondane</v>
          </cell>
          <cell r="C71"/>
          <cell r="D71">
            <v>99800</v>
          </cell>
          <cell r="E71"/>
          <cell r="F71">
            <v>10978</v>
          </cell>
          <cell r="G71">
            <v>2994</v>
          </cell>
          <cell r="H71">
            <v>110778</v>
          </cell>
          <cell r="I71">
            <v>29940</v>
          </cell>
          <cell r="J71">
            <v>140718</v>
          </cell>
          <cell r="K71">
            <v>143712</v>
          </cell>
        </row>
        <row r="72">
          <cell r="B72" t="str">
            <v>Metvell</v>
          </cell>
          <cell r="C72"/>
          <cell r="D72">
            <v>2758.4666666666667</v>
          </cell>
          <cell r="E72"/>
          <cell r="F72">
            <v>303.43133333333333</v>
          </cell>
          <cell r="G72">
            <v>82.754000000000005</v>
          </cell>
          <cell r="H72">
            <v>3061.8980000000001</v>
          </cell>
          <cell r="I72">
            <v>827.54</v>
          </cell>
          <cell r="J72">
            <v>3889.4380000000001</v>
          </cell>
          <cell r="K72">
            <v>3972.192</v>
          </cell>
        </row>
        <row r="73">
          <cell r="B73" t="str">
            <v>Caloma</v>
          </cell>
          <cell r="C73"/>
          <cell r="D73">
            <v>2711.3</v>
          </cell>
          <cell r="E73"/>
          <cell r="F73">
            <v>298.24299999999999</v>
          </cell>
          <cell r="G73">
            <v>81.338999999999999</v>
          </cell>
          <cell r="H73">
            <v>3009.5430000000001</v>
          </cell>
          <cell r="I73">
            <v>813.39</v>
          </cell>
          <cell r="J73">
            <v>3822.933</v>
          </cell>
          <cell r="K73">
            <v>3904.2719999999999</v>
          </cell>
        </row>
        <row r="74">
          <cell r="B74" t="str">
            <v>Prove D3-5000</v>
          </cell>
          <cell r="C74"/>
          <cell r="D74">
            <v>4900</v>
          </cell>
          <cell r="E74"/>
          <cell r="F74">
            <v>539</v>
          </cell>
          <cell r="G74">
            <v>147</v>
          </cell>
          <cell r="H74">
            <v>5439</v>
          </cell>
          <cell r="I74">
            <v>1470</v>
          </cell>
          <cell r="J74">
            <v>6909</v>
          </cell>
          <cell r="K74">
            <v>7056</v>
          </cell>
        </row>
        <row r="75">
          <cell r="B75" t="str">
            <v>Magsivell</v>
          </cell>
          <cell r="C75"/>
          <cell r="D75">
            <v>4300</v>
          </cell>
          <cell r="E75"/>
          <cell r="F75">
            <v>473</v>
          </cell>
          <cell r="G75">
            <v>129</v>
          </cell>
          <cell r="H75">
            <v>4773</v>
          </cell>
          <cell r="I75">
            <v>1290</v>
          </cell>
          <cell r="J75">
            <v>6063</v>
          </cell>
          <cell r="K75">
            <v>6192</v>
          </cell>
        </row>
        <row r="76">
          <cell r="B76" t="str">
            <v>Profertil</v>
          </cell>
          <cell r="C76"/>
          <cell r="D76">
            <v>22000</v>
          </cell>
          <cell r="E76"/>
          <cell r="F76">
            <v>2420</v>
          </cell>
          <cell r="G76">
            <v>660</v>
          </cell>
          <cell r="H76">
            <v>24420</v>
          </cell>
          <cell r="I76">
            <v>6600</v>
          </cell>
          <cell r="J76">
            <v>31020</v>
          </cell>
          <cell r="K76">
            <v>31680</v>
          </cell>
        </row>
        <row r="77">
          <cell r="B77" t="str">
            <v>Kalnex</v>
          </cell>
          <cell r="C77"/>
          <cell r="D77">
            <v>4906.2</v>
          </cell>
          <cell r="E77"/>
          <cell r="F77">
            <v>539.68200000000002</v>
          </cell>
          <cell r="G77">
            <v>147.18599999999998</v>
          </cell>
          <cell r="H77">
            <v>5445.8819999999996</v>
          </cell>
          <cell r="I77">
            <v>1471.86</v>
          </cell>
          <cell r="J77">
            <v>6917.7419999999993</v>
          </cell>
          <cell r="K77">
            <v>7064.927999999999</v>
          </cell>
        </row>
        <row r="78">
          <cell r="B78" t="str">
            <v>Kaltrofen</v>
          </cell>
          <cell r="C78"/>
          <cell r="D78">
            <v>22833</v>
          </cell>
          <cell r="E78"/>
          <cell r="F78">
            <v>2511.63</v>
          </cell>
          <cell r="G78">
            <v>684.99</v>
          </cell>
          <cell r="H78">
            <v>25344.63</v>
          </cell>
          <cell r="I78">
            <v>6849.9</v>
          </cell>
          <cell r="J78">
            <v>32194.53</v>
          </cell>
          <cell r="K78">
            <v>32879.519999999997</v>
          </cell>
        </row>
        <row r="79">
          <cell r="B79" t="str">
            <v>Constuloz</v>
          </cell>
          <cell r="C79"/>
          <cell r="D79">
            <v>7170.6</v>
          </cell>
          <cell r="E79"/>
          <cell r="F79">
            <v>788.76600000000008</v>
          </cell>
          <cell r="G79">
            <v>215.11799999999999</v>
          </cell>
          <cell r="H79">
            <v>7959.366</v>
          </cell>
          <cell r="I79">
            <v>2151.1799999999998</v>
          </cell>
          <cell r="J79">
            <v>10110.546</v>
          </cell>
          <cell r="K79">
            <v>10325.664000000001</v>
          </cell>
        </row>
        <row r="80">
          <cell r="B80"/>
          <cell r="C80"/>
          <cell r="D80"/>
          <cell r="E80"/>
          <cell r="F80"/>
          <cell r="G80"/>
          <cell r="H80"/>
          <cell r="I80"/>
          <cell r="J80"/>
          <cell r="K80"/>
        </row>
        <row r="81">
          <cell r="B81"/>
          <cell r="C81"/>
          <cell r="D81"/>
          <cell r="E81"/>
          <cell r="F81"/>
          <cell r="G81"/>
          <cell r="H81"/>
          <cell r="I81"/>
          <cell r="J81"/>
          <cell r="K81"/>
        </row>
        <row r="82">
          <cell r="B82"/>
          <cell r="C82"/>
          <cell r="D82"/>
          <cell r="E82"/>
          <cell r="F82"/>
          <cell r="G82"/>
          <cell r="H82"/>
          <cell r="I82"/>
          <cell r="J82"/>
          <cell r="K82"/>
        </row>
        <row r="83">
          <cell r="B83"/>
          <cell r="C83"/>
          <cell r="D83"/>
          <cell r="E83"/>
          <cell r="F83"/>
          <cell r="G83"/>
          <cell r="H83"/>
          <cell r="I83"/>
          <cell r="J83"/>
          <cell r="K83"/>
        </row>
        <row r="84">
          <cell r="B84"/>
          <cell r="C84"/>
          <cell r="D84"/>
          <cell r="E84"/>
          <cell r="F84"/>
          <cell r="G84"/>
          <cell r="H84"/>
          <cell r="I84"/>
          <cell r="J84"/>
          <cell r="K84"/>
        </row>
        <row r="85">
          <cell r="B85"/>
          <cell r="C85"/>
          <cell r="D85"/>
          <cell r="E85"/>
          <cell r="F85"/>
          <cell r="G85"/>
          <cell r="H85"/>
          <cell r="I85"/>
          <cell r="J85"/>
          <cell r="K85"/>
        </row>
        <row r="86">
          <cell r="B86"/>
          <cell r="C86"/>
          <cell r="D86"/>
          <cell r="E86"/>
          <cell r="F86"/>
          <cell r="G86"/>
          <cell r="H86"/>
          <cell r="I86"/>
          <cell r="J86"/>
          <cell r="K86"/>
        </row>
        <row r="87">
          <cell r="B87"/>
          <cell r="C87"/>
          <cell r="D87"/>
          <cell r="E87"/>
          <cell r="F87"/>
          <cell r="G87"/>
          <cell r="H87"/>
          <cell r="I87"/>
          <cell r="J87"/>
          <cell r="K87"/>
        </row>
        <row r="88">
          <cell r="B88"/>
          <cell r="C88"/>
          <cell r="D88"/>
          <cell r="E88"/>
          <cell r="F88"/>
          <cell r="G88"/>
          <cell r="H88"/>
          <cell r="I88"/>
          <cell r="J88"/>
          <cell r="K88"/>
        </row>
        <row r="89">
          <cell r="B89"/>
          <cell r="C89"/>
          <cell r="D89"/>
          <cell r="E89"/>
          <cell r="F89"/>
          <cell r="G89"/>
          <cell r="H89"/>
          <cell r="I89"/>
          <cell r="J89"/>
          <cell r="K89"/>
        </row>
        <row r="90">
          <cell r="B90"/>
          <cell r="C90"/>
          <cell r="D90"/>
          <cell r="E90"/>
          <cell r="F90"/>
          <cell r="G90"/>
          <cell r="H90"/>
          <cell r="I90"/>
          <cell r="J90"/>
          <cell r="K90"/>
        </row>
        <row r="91">
          <cell r="B91" t="str">
            <v>NAMA OBAT</v>
          </cell>
          <cell r="C91" t="str">
            <v>Harga Apotek</v>
          </cell>
          <cell r="D91"/>
          <cell r="E91"/>
          <cell r="F91"/>
          <cell r="G91"/>
          <cell r="H91"/>
          <cell r="I91">
            <v>0.35</v>
          </cell>
          <cell r="J91"/>
          <cell r="K91" t="str">
            <v>HARGA  JUAL</v>
          </cell>
        </row>
        <row r="92">
          <cell r="B92" t="str">
            <v>Cefixime</v>
          </cell>
          <cell r="C92">
            <v>985</v>
          </cell>
          <cell r="D92"/>
          <cell r="E92" t="str">
            <v>tablet</v>
          </cell>
          <cell r="F92"/>
          <cell r="G92"/>
          <cell r="H92"/>
          <cell r="I92">
            <v>344.75</v>
          </cell>
          <cell r="J92">
            <v>1329.75</v>
          </cell>
          <cell r="K92">
            <v>1329.75</v>
          </cell>
        </row>
        <row r="93">
          <cell r="B93" t="str">
            <v>Hecosan</v>
          </cell>
          <cell r="C93">
            <v>66000</v>
          </cell>
          <cell r="D93"/>
          <cell r="E93" t="str">
            <v>botol</v>
          </cell>
          <cell r="F93"/>
          <cell r="G93"/>
          <cell r="H93"/>
          <cell r="I93">
            <v>23100</v>
          </cell>
          <cell r="J93">
            <v>89100</v>
          </cell>
          <cell r="K93">
            <v>89100</v>
          </cell>
        </row>
        <row r="94">
          <cell r="B94" t="str">
            <v>Ceftriaxone sodium 1 G Inj</v>
          </cell>
          <cell r="C94">
            <v>30414</v>
          </cell>
          <cell r="D94"/>
          <cell r="E94"/>
          <cell r="F94"/>
          <cell r="G94"/>
          <cell r="H94"/>
          <cell r="I94">
            <v>10644.9</v>
          </cell>
          <cell r="J94">
            <v>41058.9</v>
          </cell>
          <cell r="K94">
            <v>41058.9</v>
          </cell>
        </row>
        <row r="95">
          <cell r="B95" t="str">
            <v>Oxytocin Inj</v>
          </cell>
          <cell r="C95">
            <v>5994</v>
          </cell>
          <cell r="D95"/>
          <cell r="E95"/>
          <cell r="F95"/>
          <cell r="G95"/>
          <cell r="H95"/>
          <cell r="I95">
            <v>2097.9</v>
          </cell>
          <cell r="J95">
            <v>8091.9</v>
          </cell>
          <cell r="K95">
            <v>8091.9</v>
          </cell>
        </row>
        <row r="96">
          <cell r="B96" t="str">
            <v>WI 20 Ml (Aqua Pro Injection)</v>
          </cell>
          <cell r="C96">
            <v>13986</v>
          </cell>
          <cell r="D96"/>
          <cell r="E96"/>
          <cell r="F96"/>
          <cell r="G96"/>
          <cell r="H96"/>
          <cell r="I96">
            <v>4895.0999999999995</v>
          </cell>
          <cell r="J96">
            <v>18881.099999999999</v>
          </cell>
          <cell r="K96">
            <v>18881.099999999999</v>
          </cell>
        </row>
        <row r="97">
          <cell r="B97" t="str">
            <v>Trovensis</v>
          </cell>
          <cell r="C97">
            <v>14652</v>
          </cell>
          <cell r="D97"/>
          <cell r="E97"/>
          <cell r="F97"/>
          <cell r="G97"/>
          <cell r="H97"/>
          <cell r="I97">
            <v>5128.2</v>
          </cell>
          <cell r="J97">
            <v>19780.2</v>
          </cell>
          <cell r="K97">
            <v>19780.2</v>
          </cell>
        </row>
        <row r="98">
          <cell r="B98" t="str">
            <v>Mozuku</v>
          </cell>
          <cell r="C98">
            <v>78800</v>
          </cell>
          <cell r="D98"/>
          <cell r="E98"/>
          <cell r="F98"/>
          <cell r="G98"/>
          <cell r="H98"/>
          <cell r="I98">
            <v>27580</v>
          </cell>
          <cell r="J98">
            <v>106380</v>
          </cell>
          <cell r="K98">
            <v>106380</v>
          </cell>
        </row>
        <row r="99">
          <cell r="B99" t="str">
            <v>Methylprednisolone</v>
          </cell>
          <cell r="C99">
            <v>1628</v>
          </cell>
          <cell r="D99"/>
          <cell r="E99"/>
          <cell r="F99"/>
          <cell r="G99"/>
          <cell r="H99"/>
          <cell r="I99">
            <v>260.48</v>
          </cell>
          <cell r="J99">
            <v>1888.48</v>
          </cell>
          <cell r="K99">
            <v>1888.48</v>
          </cell>
        </row>
        <row r="100">
          <cell r="B100" t="str">
            <v>Triamcinolone</v>
          </cell>
          <cell r="C100">
            <v>10759</v>
          </cell>
          <cell r="D100"/>
          <cell r="E100"/>
          <cell r="F100"/>
          <cell r="G100"/>
          <cell r="H100"/>
          <cell r="I100">
            <v>1721.44</v>
          </cell>
          <cell r="J100">
            <v>12480.44</v>
          </cell>
          <cell r="K100">
            <v>12480.44</v>
          </cell>
        </row>
        <row r="101">
          <cell r="B101" t="str">
            <v>Lidocain 20 mg</v>
          </cell>
          <cell r="C101">
            <v>1776</v>
          </cell>
          <cell r="D101"/>
          <cell r="E101"/>
          <cell r="F101"/>
          <cell r="G101"/>
          <cell r="H101"/>
          <cell r="I101">
            <v>284.16000000000003</v>
          </cell>
          <cell r="J101">
            <v>2060.16</v>
          </cell>
          <cell r="K101">
            <v>2060.16</v>
          </cell>
        </row>
        <row r="102">
          <cell r="B102" t="str">
            <v>Sucralfat Syruf</v>
          </cell>
          <cell r="C102">
            <v>11746</v>
          </cell>
          <cell r="D102"/>
          <cell r="E102"/>
          <cell r="F102"/>
          <cell r="G102"/>
          <cell r="H102"/>
          <cell r="I102">
            <v>4111.0999999999995</v>
          </cell>
          <cell r="J102">
            <v>15857.099999999999</v>
          </cell>
          <cell r="K102">
            <v>15857.099999999999</v>
          </cell>
        </row>
        <row r="103">
          <cell r="B103" t="str">
            <v>Maltofer</v>
          </cell>
          <cell r="C103">
            <v>3100</v>
          </cell>
          <cell r="D103"/>
          <cell r="E103"/>
          <cell r="F103"/>
          <cell r="G103"/>
          <cell r="H103"/>
          <cell r="I103">
            <v>1085</v>
          </cell>
          <cell r="J103">
            <v>4185</v>
          </cell>
          <cell r="K103">
            <v>4185</v>
          </cell>
        </row>
        <row r="104">
          <cell r="B104" t="str">
            <v>Bledstop</v>
          </cell>
          <cell r="C104">
            <v>1600</v>
          </cell>
          <cell r="D104"/>
          <cell r="E104"/>
          <cell r="F104"/>
          <cell r="G104"/>
          <cell r="H104"/>
          <cell r="I104">
            <v>560</v>
          </cell>
          <cell r="J104">
            <v>2160</v>
          </cell>
          <cell r="K104">
            <v>2160</v>
          </cell>
        </row>
        <row r="105">
          <cell r="B105" t="str">
            <v>Fetik Suppositoria</v>
          </cell>
          <cell r="C105">
            <v>27639</v>
          </cell>
          <cell r="D105"/>
          <cell r="E105"/>
          <cell r="F105"/>
          <cell r="G105"/>
          <cell r="H105"/>
          <cell r="I105">
            <v>9673.65</v>
          </cell>
          <cell r="J105">
            <v>37312.65</v>
          </cell>
          <cell r="K105">
            <v>37312.65</v>
          </cell>
        </row>
        <row r="106">
          <cell r="B106" t="str">
            <v>Tuzalos</v>
          </cell>
          <cell r="C106">
            <v>1260</v>
          </cell>
          <cell r="D106"/>
          <cell r="E106"/>
          <cell r="F106"/>
          <cell r="G106"/>
          <cell r="H106"/>
          <cell r="I106">
            <v>441</v>
          </cell>
          <cell r="J106">
            <v>1701</v>
          </cell>
          <cell r="K106">
            <v>1701</v>
          </cell>
        </row>
        <row r="107">
          <cell r="B107" t="str">
            <v>Gentamicin Salep Kulit</v>
          </cell>
          <cell r="C107">
            <v>5772</v>
          </cell>
          <cell r="D107"/>
          <cell r="E107"/>
          <cell r="F107"/>
          <cell r="G107"/>
          <cell r="H107"/>
          <cell r="I107">
            <v>2020.1999999999998</v>
          </cell>
          <cell r="J107">
            <v>7792.2</v>
          </cell>
          <cell r="K107">
            <v>7792.2</v>
          </cell>
        </row>
        <row r="108">
          <cell r="B108" t="str">
            <v>Ondansetron</v>
          </cell>
          <cell r="C108">
            <v>400</v>
          </cell>
          <cell r="D108"/>
          <cell r="E108"/>
          <cell r="F108"/>
          <cell r="G108"/>
          <cell r="H108"/>
          <cell r="I108">
            <v>140</v>
          </cell>
          <cell r="J108">
            <v>540</v>
          </cell>
          <cell r="K108">
            <v>540</v>
          </cell>
        </row>
        <row r="109">
          <cell r="B109" t="str">
            <v>Endrolin</v>
          </cell>
          <cell r="C109">
            <v>1400000</v>
          </cell>
          <cell r="D109"/>
          <cell r="E109"/>
          <cell r="F109"/>
          <cell r="G109"/>
          <cell r="H109"/>
          <cell r="I109">
            <v>489999.99999999994</v>
          </cell>
          <cell r="J109">
            <v>1890000</v>
          </cell>
          <cell r="K109">
            <v>1890000</v>
          </cell>
        </row>
        <row r="110">
          <cell r="B110" t="str">
            <v>Cerini</v>
          </cell>
          <cell r="C110">
            <v>5100</v>
          </cell>
          <cell r="D110"/>
          <cell r="E110"/>
          <cell r="F110"/>
          <cell r="G110"/>
          <cell r="H110"/>
          <cell r="I110">
            <v>1785</v>
          </cell>
          <cell r="J110">
            <v>6885</v>
          </cell>
          <cell r="K110">
            <v>6885</v>
          </cell>
        </row>
        <row r="111">
          <cell r="B111" t="str">
            <v>Clindamycin</v>
          </cell>
          <cell r="C111">
            <v>1800</v>
          </cell>
          <cell r="D111"/>
          <cell r="E111"/>
          <cell r="F111"/>
          <cell r="G111"/>
          <cell r="H111"/>
          <cell r="I111">
            <v>630</v>
          </cell>
          <cell r="J111">
            <v>2430</v>
          </cell>
          <cell r="K111">
            <v>2430</v>
          </cell>
        </row>
        <row r="112">
          <cell r="B112" t="str">
            <v>Sanadryl Expectoran</v>
          </cell>
          <cell r="C112">
            <v>23000</v>
          </cell>
          <cell r="D112"/>
          <cell r="E112"/>
          <cell r="F112"/>
          <cell r="G112"/>
          <cell r="H112"/>
          <cell r="I112">
            <v>8049.9999999999991</v>
          </cell>
          <cell r="J112">
            <v>31050</v>
          </cell>
          <cell r="K112">
            <v>31050</v>
          </cell>
        </row>
        <row r="113">
          <cell r="B113" t="str">
            <v>Sanadryl DMP</v>
          </cell>
          <cell r="C113">
            <v>33000</v>
          </cell>
          <cell r="D113"/>
          <cell r="E113"/>
          <cell r="F113"/>
          <cell r="G113"/>
          <cell r="H113"/>
          <cell r="I113">
            <v>11550</v>
          </cell>
          <cell r="J113">
            <v>44550</v>
          </cell>
          <cell r="K113">
            <v>44550</v>
          </cell>
        </row>
        <row r="114">
          <cell r="B114" t="str">
            <v>Urotractin</v>
          </cell>
          <cell r="C114">
            <v>5400</v>
          </cell>
          <cell r="D114"/>
          <cell r="E114"/>
          <cell r="F114"/>
          <cell r="G114"/>
          <cell r="H114"/>
          <cell r="I114">
            <v>1889.9999999999998</v>
          </cell>
          <cell r="J114">
            <v>7290</v>
          </cell>
          <cell r="K114">
            <v>7290</v>
          </cell>
        </row>
        <row r="115">
          <cell r="B115" t="str">
            <v>Oxofarin</v>
          </cell>
          <cell r="C115">
            <v>108000</v>
          </cell>
          <cell r="D115"/>
          <cell r="E115"/>
          <cell r="F115"/>
          <cell r="G115"/>
          <cell r="H115"/>
          <cell r="I115">
            <v>37800</v>
          </cell>
          <cell r="J115">
            <v>145800</v>
          </cell>
          <cell r="K115">
            <v>145800</v>
          </cell>
        </row>
        <row r="116">
          <cell r="B116" t="str">
            <v>Hethylpred</v>
          </cell>
          <cell r="C116">
            <v>1600</v>
          </cell>
          <cell r="D116"/>
          <cell r="E116"/>
          <cell r="F116"/>
          <cell r="G116"/>
          <cell r="H116"/>
          <cell r="I116">
            <v>560</v>
          </cell>
          <cell r="J116">
            <v>2160</v>
          </cell>
          <cell r="K116">
            <v>2160</v>
          </cell>
        </row>
        <row r="117">
          <cell r="B117" t="str">
            <v>Epexol</v>
          </cell>
          <cell r="C117">
            <v>22600</v>
          </cell>
          <cell r="D117"/>
          <cell r="E117"/>
          <cell r="F117"/>
          <cell r="G117"/>
          <cell r="H117"/>
          <cell r="I117">
            <v>7909.9999999999991</v>
          </cell>
          <cell r="J117">
            <v>30510</v>
          </cell>
          <cell r="K117">
            <v>30510</v>
          </cell>
        </row>
        <row r="118">
          <cell r="B118" t="str">
            <v>Espreson</v>
          </cell>
          <cell r="C118">
            <v>81700</v>
          </cell>
          <cell r="D118"/>
          <cell r="E118"/>
          <cell r="F118"/>
          <cell r="G118"/>
          <cell r="H118"/>
          <cell r="I118">
            <v>28595</v>
          </cell>
          <cell r="J118">
            <v>110295</v>
          </cell>
          <cell r="K118">
            <v>110295</v>
          </cell>
        </row>
        <row r="119">
          <cell r="B119" t="str">
            <v>Bioplacenton 15</v>
          </cell>
          <cell r="C119">
            <v>28700</v>
          </cell>
          <cell r="D119"/>
          <cell r="E119"/>
          <cell r="F119"/>
          <cell r="G119"/>
          <cell r="H119"/>
          <cell r="I119">
            <v>10045</v>
          </cell>
          <cell r="J119">
            <v>38745</v>
          </cell>
          <cell r="K119">
            <v>38745</v>
          </cell>
        </row>
        <row r="120">
          <cell r="B120" t="str">
            <v>Trhombophob 20</v>
          </cell>
          <cell r="C120">
            <v>76600</v>
          </cell>
          <cell r="D120"/>
          <cell r="E120"/>
          <cell r="F120"/>
          <cell r="G120"/>
          <cell r="H120"/>
          <cell r="I120">
            <v>26810</v>
          </cell>
          <cell r="J120">
            <v>103410</v>
          </cell>
          <cell r="K120">
            <v>103410</v>
          </cell>
        </row>
        <row r="121">
          <cell r="B121" t="str">
            <v>Diatabs</v>
          </cell>
          <cell r="C121">
            <v>800</v>
          </cell>
          <cell r="D121"/>
          <cell r="E121"/>
          <cell r="F121"/>
          <cell r="G121"/>
          <cell r="H121"/>
          <cell r="I121">
            <v>280</v>
          </cell>
          <cell r="J121">
            <v>1080</v>
          </cell>
          <cell r="K121">
            <v>1080</v>
          </cell>
        </row>
        <row r="122">
          <cell r="B122" t="str">
            <v>Cepat</v>
          </cell>
          <cell r="C122">
            <v>13900</v>
          </cell>
          <cell r="D122"/>
          <cell r="E122"/>
          <cell r="F122"/>
          <cell r="G122"/>
          <cell r="H122"/>
          <cell r="I122">
            <v>4865</v>
          </cell>
          <cell r="J122">
            <v>18765</v>
          </cell>
          <cell r="K122">
            <v>18765</v>
          </cell>
        </row>
        <row r="123">
          <cell r="B123" t="str">
            <v>Lodia</v>
          </cell>
          <cell r="C123">
            <v>1450</v>
          </cell>
          <cell r="D123"/>
          <cell r="E123"/>
          <cell r="F123"/>
          <cell r="G123"/>
          <cell r="H123"/>
          <cell r="I123">
            <v>507.49999999999994</v>
          </cell>
          <cell r="J123">
            <v>1957.5</v>
          </cell>
          <cell r="K123">
            <v>1957.5</v>
          </cell>
        </row>
        <row r="124">
          <cell r="B124" t="str">
            <v>Intunal F</v>
          </cell>
          <cell r="C124">
            <v>800</v>
          </cell>
          <cell r="D124"/>
          <cell r="E124"/>
          <cell r="F124"/>
          <cell r="G124"/>
          <cell r="H124"/>
          <cell r="I124">
            <v>280</v>
          </cell>
          <cell r="J124">
            <v>1080</v>
          </cell>
          <cell r="K124">
            <v>1080</v>
          </cell>
        </row>
        <row r="125">
          <cell r="B125" t="str">
            <v>Cipro</v>
          </cell>
          <cell r="C125">
            <v>500</v>
          </cell>
          <cell r="D125"/>
          <cell r="E125"/>
          <cell r="F125"/>
          <cell r="G125"/>
          <cell r="H125"/>
          <cell r="I125">
            <v>175</v>
          </cell>
          <cell r="J125">
            <v>675</v>
          </cell>
          <cell r="K125">
            <v>675</v>
          </cell>
        </row>
        <row r="126">
          <cell r="B126"/>
          <cell r="C126"/>
          <cell r="D126"/>
          <cell r="E126"/>
          <cell r="F126"/>
          <cell r="G126"/>
          <cell r="H126"/>
          <cell r="I126"/>
          <cell r="J126"/>
          <cell r="K126"/>
        </row>
        <row r="127">
          <cell r="B127"/>
          <cell r="C127"/>
          <cell r="D127"/>
          <cell r="E127"/>
          <cell r="F127"/>
          <cell r="G127"/>
          <cell r="H127"/>
          <cell r="I127"/>
          <cell r="J127"/>
          <cell r="K127"/>
        </row>
        <row r="128">
          <cell r="B128"/>
          <cell r="C128"/>
          <cell r="D128"/>
          <cell r="E128"/>
          <cell r="F128"/>
          <cell r="G128"/>
          <cell r="H128"/>
          <cell r="I128"/>
          <cell r="J128"/>
          <cell r="K128"/>
        </row>
        <row r="129">
          <cell r="B129"/>
          <cell r="C129"/>
          <cell r="D129"/>
          <cell r="E129"/>
          <cell r="F129"/>
          <cell r="G129"/>
          <cell r="H129"/>
          <cell r="I129"/>
          <cell r="J129"/>
          <cell r="K129"/>
        </row>
        <row r="130">
          <cell r="B130"/>
          <cell r="C130"/>
          <cell r="D130"/>
          <cell r="E130"/>
          <cell r="F130"/>
          <cell r="G130"/>
          <cell r="H130"/>
          <cell r="I130"/>
          <cell r="J130"/>
          <cell r="K130"/>
        </row>
        <row r="131">
          <cell r="B131"/>
          <cell r="C131"/>
          <cell r="D131"/>
          <cell r="E131"/>
          <cell r="F131"/>
          <cell r="G131"/>
          <cell r="H131"/>
          <cell r="I131"/>
          <cell r="J131"/>
          <cell r="K131"/>
        </row>
        <row r="132">
          <cell r="B132"/>
          <cell r="C132"/>
          <cell r="D132"/>
          <cell r="E132"/>
          <cell r="F132"/>
          <cell r="G132"/>
          <cell r="H132"/>
          <cell r="I132"/>
          <cell r="J132"/>
          <cell r="K132"/>
        </row>
        <row r="133">
          <cell r="B133"/>
          <cell r="C133"/>
          <cell r="D133"/>
          <cell r="E133"/>
          <cell r="F133"/>
          <cell r="G133"/>
          <cell r="H133"/>
          <cell r="I133"/>
          <cell r="J133"/>
          <cell r="K133"/>
        </row>
        <row r="134">
          <cell r="B134"/>
          <cell r="C134"/>
          <cell r="D134"/>
          <cell r="E134"/>
          <cell r="F134"/>
          <cell r="G134"/>
          <cell r="H134"/>
          <cell r="I134"/>
          <cell r="J134"/>
          <cell r="K134"/>
        </row>
        <row r="135">
          <cell r="B135"/>
          <cell r="C135"/>
          <cell r="D135"/>
          <cell r="E135"/>
          <cell r="F135"/>
          <cell r="G135"/>
          <cell r="H135"/>
          <cell r="I135"/>
          <cell r="J135"/>
          <cell r="K135"/>
        </row>
        <row r="136">
          <cell r="B136"/>
          <cell r="C136"/>
          <cell r="D136"/>
          <cell r="E136"/>
          <cell r="F136"/>
          <cell r="G136"/>
          <cell r="H136"/>
          <cell r="I136"/>
          <cell r="J136"/>
          <cell r="K136"/>
        </row>
        <row r="137">
          <cell r="B137"/>
          <cell r="C137"/>
          <cell r="D137"/>
          <cell r="E137"/>
          <cell r="F137"/>
          <cell r="G137"/>
          <cell r="H137"/>
          <cell r="I137"/>
          <cell r="J137"/>
          <cell r="K137"/>
        </row>
        <row r="138">
          <cell r="B138"/>
          <cell r="C138"/>
          <cell r="D138"/>
          <cell r="E138"/>
          <cell r="F138"/>
          <cell r="G138"/>
          <cell r="H138"/>
          <cell r="I138"/>
          <cell r="J138"/>
          <cell r="K138"/>
        </row>
        <row r="139">
          <cell r="B139"/>
          <cell r="C139"/>
          <cell r="D139"/>
          <cell r="E139"/>
          <cell r="F139"/>
          <cell r="G139"/>
          <cell r="H139"/>
          <cell r="I139"/>
          <cell r="J139"/>
          <cell r="K139"/>
        </row>
      </sheetData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ftar produk"/>
      <sheetName val="harga obat"/>
      <sheetName val="harga non obat"/>
      <sheetName val="Jatuh Tempo"/>
      <sheetName val="Jatuh Tempo 1"/>
    </sheetNames>
    <sheetDataSet>
      <sheetData sheetId="0" refreshError="1"/>
      <sheetData sheetId="1" refreshError="1"/>
      <sheetData sheetId="2" refreshError="1">
        <row r="4">
          <cell r="B4" t="str">
            <v>Masker Nano karet</v>
          </cell>
          <cell r="C4">
            <v>50</v>
          </cell>
          <cell r="D4">
            <v>320</v>
          </cell>
          <cell r="E4">
            <v>16000</v>
          </cell>
          <cell r="F4">
            <v>32</v>
          </cell>
          <cell r="G4">
            <v>9.6</v>
          </cell>
          <cell r="H4">
            <v>352</v>
          </cell>
          <cell r="I4">
            <v>160</v>
          </cell>
          <cell r="J4">
            <v>512</v>
          </cell>
          <cell r="K4">
            <v>521.6</v>
          </cell>
        </row>
        <row r="5">
          <cell r="B5" t="str">
            <v>Masker karet Santis</v>
          </cell>
          <cell r="C5">
            <v>50</v>
          </cell>
          <cell r="D5">
            <v>460</v>
          </cell>
          <cell r="E5">
            <v>23000</v>
          </cell>
          <cell r="F5">
            <v>46</v>
          </cell>
          <cell r="G5">
            <v>13.799999999999999</v>
          </cell>
          <cell r="H5">
            <v>506</v>
          </cell>
          <cell r="I5">
            <v>230</v>
          </cell>
          <cell r="J5">
            <v>736</v>
          </cell>
          <cell r="K5">
            <v>749.8</v>
          </cell>
        </row>
        <row r="6">
          <cell r="B6" t="str">
            <v>Mikropore 2inch 3m</v>
          </cell>
          <cell r="C6">
            <v>1</v>
          </cell>
          <cell r="D6">
            <v>33000</v>
          </cell>
          <cell r="E6">
            <v>33000</v>
          </cell>
          <cell r="F6">
            <v>3300</v>
          </cell>
          <cell r="G6">
            <v>990</v>
          </cell>
          <cell r="H6">
            <v>36300</v>
          </cell>
          <cell r="I6">
            <v>16500</v>
          </cell>
          <cell r="J6">
            <v>52800</v>
          </cell>
          <cell r="K6">
            <v>53790</v>
          </cell>
        </row>
        <row r="7">
          <cell r="B7" t="str">
            <v>Mikropore 1inch 3m</v>
          </cell>
          <cell r="C7">
            <v>1</v>
          </cell>
          <cell r="D7">
            <v>18000</v>
          </cell>
          <cell r="E7">
            <v>18000</v>
          </cell>
          <cell r="F7">
            <v>1800</v>
          </cell>
          <cell r="G7">
            <v>540</v>
          </cell>
          <cell r="H7">
            <v>19800</v>
          </cell>
          <cell r="I7">
            <v>9000</v>
          </cell>
          <cell r="J7">
            <v>28800</v>
          </cell>
          <cell r="K7">
            <v>29340</v>
          </cell>
        </row>
        <row r="8">
          <cell r="B8" t="str">
            <v>Torniquet onemed</v>
          </cell>
          <cell r="C8">
            <v>1</v>
          </cell>
          <cell r="D8">
            <v>13000</v>
          </cell>
          <cell r="E8">
            <v>13000</v>
          </cell>
          <cell r="F8">
            <v>1300</v>
          </cell>
          <cell r="G8">
            <v>390</v>
          </cell>
          <cell r="H8">
            <v>14300</v>
          </cell>
          <cell r="I8">
            <v>6500</v>
          </cell>
          <cell r="J8">
            <v>20800</v>
          </cell>
          <cell r="K8">
            <v>21190</v>
          </cell>
        </row>
        <row r="9">
          <cell r="B9" t="str">
            <v>Dermafix-T5x7cm OM</v>
          </cell>
          <cell r="C9">
            <v>25</v>
          </cell>
          <cell r="D9">
            <v>1800</v>
          </cell>
          <cell r="E9">
            <v>45000</v>
          </cell>
          <cell r="F9">
            <v>180</v>
          </cell>
          <cell r="G9">
            <v>54</v>
          </cell>
          <cell r="H9">
            <v>1980</v>
          </cell>
          <cell r="I9">
            <v>900</v>
          </cell>
          <cell r="J9">
            <v>2880</v>
          </cell>
          <cell r="K9">
            <v>2934</v>
          </cell>
        </row>
        <row r="10">
          <cell r="B10" t="str">
            <v>Gunting Verban sakamed</v>
          </cell>
          <cell r="C10">
            <v>1</v>
          </cell>
          <cell r="D10">
            <v>20000</v>
          </cell>
          <cell r="E10">
            <v>20000</v>
          </cell>
          <cell r="F10">
            <v>2000</v>
          </cell>
          <cell r="G10">
            <v>600</v>
          </cell>
          <cell r="H10">
            <v>22000</v>
          </cell>
          <cell r="I10">
            <v>10000</v>
          </cell>
          <cell r="J10">
            <v>32000</v>
          </cell>
          <cell r="K10">
            <v>32600</v>
          </cell>
        </row>
        <row r="11">
          <cell r="B11" t="str">
            <v>Masker KF94 Mouson</v>
          </cell>
          <cell r="C11">
            <v>20</v>
          </cell>
          <cell r="D11">
            <v>1000</v>
          </cell>
          <cell r="E11">
            <v>20000</v>
          </cell>
          <cell r="F11">
            <v>100</v>
          </cell>
          <cell r="G11">
            <v>30</v>
          </cell>
          <cell r="H11">
            <v>1100</v>
          </cell>
          <cell r="I11">
            <v>500</v>
          </cell>
          <cell r="J11">
            <v>1600</v>
          </cell>
          <cell r="K11">
            <v>1630</v>
          </cell>
        </row>
        <row r="12">
          <cell r="B12" t="str">
            <v>Masker Karet anak GP Care</v>
          </cell>
          <cell r="C12">
            <v>50</v>
          </cell>
          <cell r="D12">
            <v>500</v>
          </cell>
          <cell r="E12">
            <v>25000</v>
          </cell>
          <cell r="F12">
            <v>50</v>
          </cell>
          <cell r="G12">
            <v>15</v>
          </cell>
          <cell r="H12">
            <v>550</v>
          </cell>
          <cell r="I12">
            <v>250</v>
          </cell>
          <cell r="J12">
            <v>800</v>
          </cell>
          <cell r="K12">
            <v>815</v>
          </cell>
        </row>
        <row r="13">
          <cell r="B13" t="str">
            <v>Desinfektan 500 ml Snap</v>
          </cell>
          <cell r="C13">
            <v>1</v>
          </cell>
          <cell r="D13">
            <v>25000</v>
          </cell>
          <cell r="E13">
            <v>25000</v>
          </cell>
          <cell r="F13">
            <v>2500</v>
          </cell>
          <cell r="G13">
            <v>750</v>
          </cell>
          <cell r="H13">
            <v>27500</v>
          </cell>
          <cell r="I13">
            <v>12500</v>
          </cell>
          <cell r="J13">
            <v>40000</v>
          </cell>
          <cell r="K13">
            <v>40750</v>
          </cell>
        </row>
        <row r="14">
          <cell r="B14" t="str">
            <v>Hanscoon Steril no.6,5 GP care</v>
          </cell>
          <cell r="C14">
            <v>3</v>
          </cell>
          <cell r="D14">
            <v>7000</v>
          </cell>
          <cell r="E14">
            <v>21000</v>
          </cell>
          <cell r="F14">
            <v>700</v>
          </cell>
          <cell r="G14">
            <v>210</v>
          </cell>
          <cell r="H14">
            <v>7700</v>
          </cell>
          <cell r="I14">
            <v>3500</v>
          </cell>
          <cell r="J14">
            <v>11200</v>
          </cell>
          <cell r="K14">
            <v>11410</v>
          </cell>
        </row>
        <row r="15">
          <cell r="B15" t="str">
            <v>Spuit 1 cc Hexacare</v>
          </cell>
          <cell r="C15">
            <v>10</v>
          </cell>
          <cell r="D15">
            <v>1000</v>
          </cell>
          <cell r="E15">
            <v>10000</v>
          </cell>
          <cell r="F15">
            <v>100</v>
          </cell>
          <cell r="G15">
            <v>30</v>
          </cell>
          <cell r="H15">
            <v>1100</v>
          </cell>
          <cell r="I15">
            <v>500</v>
          </cell>
          <cell r="J15">
            <v>1600</v>
          </cell>
          <cell r="K15">
            <v>1630</v>
          </cell>
        </row>
        <row r="16">
          <cell r="B16" t="str">
            <v>Spuit 3 cc hexacare</v>
          </cell>
          <cell r="C16">
            <v>10</v>
          </cell>
          <cell r="D16">
            <v>1000</v>
          </cell>
          <cell r="E16">
            <v>10000</v>
          </cell>
          <cell r="F16">
            <v>100</v>
          </cell>
          <cell r="G16">
            <v>30</v>
          </cell>
          <cell r="H16">
            <v>1100</v>
          </cell>
          <cell r="I16">
            <v>500</v>
          </cell>
          <cell r="J16">
            <v>1600</v>
          </cell>
          <cell r="K16">
            <v>1630</v>
          </cell>
        </row>
        <row r="17">
          <cell r="B17" t="str">
            <v>Spuit 5 cc hexacare</v>
          </cell>
          <cell r="C17">
            <v>10</v>
          </cell>
          <cell r="D17">
            <v>1000</v>
          </cell>
          <cell r="E17">
            <v>10000</v>
          </cell>
          <cell r="F17">
            <v>100</v>
          </cell>
          <cell r="G17">
            <v>30</v>
          </cell>
          <cell r="H17">
            <v>1100</v>
          </cell>
          <cell r="I17">
            <v>500</v>
          </cell>
          <cell r="J17">
            <v>1600</v>
          </cell>
          <cell r="K17">
            <v>1630</v>
          </cell>
        </row>
        <row r="18">
          <cell r="B18" t="str">
            <v>Foley cath no.16 onehealth</v>
          </cell>
          <cell r="C18">
            <v>3</v>
          </cell>
          <cell r="D18">
            <v>8000</v>
          </cell>
          <cell r="E18">
            <v>24000</v>
          </cell>
          <cell r="F18">
            <v>800</v>
          </cell>
          <cell r="G18">
            <v>240</v>
          </cell>
          <cell r="H18">
            <v>8800</v>
          </cell>
          <cell r="I18">
            <v>4000</v>
          </cell>
          <cell r="J18">
            <v>12800</v>
          </cell>
          <cell r="K18">
            <v>13040</v>
          </cell>
        </row>
        <row r="19">
          <cell r="B19" t="str">
            <v>Urine Bag Hexacare</v>
          </cell>
          <cell r="C19">
            <v>2</v>
          </cell>
          <cell r="D19">
            <v>4500</v>
          </cell>
          <cell r="E19">
            <v>9000</v>
          </cell>
          <cell r="F19">
            <v>450</v>
          </cell>
          <cell r="G19">
            <v>135</v>
          </cell>
          <cell r="H19">
            <v>4950</v>
          </cell>
          <cell r="I19">
            <v>2250</v>
          </cell>
          <cell r="J19">
            <v>7200</v>
          </cell>
          <cell r="K19">
            <v>7335</v>
          </cell>
        </row>
        <row r="20">
          <cell r="B20" t="str">
            <v>Pot 50ml</v>
          </cell>
          <cell r="C20">
            <v>10</v>
          </cell>
          <cell r="D20">
            <v>1000</v>
          </cell>
          <cell r="E20">
            <v>10000</v>
          </cell>
          <cell r="F20">
            <v>100</v>
          </cell>
          <cell r="G20">
            <v>30</v>
          </cell>
          <cell r="H20">
            <v>1100</v>
          </cell>
          <cell r="I20">
            <v>500</v>
          </cell>
          <cell r="J20">
            <v>1600</v>
          </cell>
          <cell r="K20">
            <v>1630</v>
          </cell>
        </row>
        <row r="21">
          <cell r="B21" t="str">
            <v>Mortar 100 MM Sella</v>
          </cell>
          <cell r="C21">
            <v>1</v>
          </cell>
          <cell r="D21">
            <v>35000</v>
          </cell>
          <cell r="E21">
            <v>35000</v>
          </cell>
          <cell r="F21">
            <v>3500</v>
          </cell>
          <cell r="G21">
            <v>1050</v>
          </cell>
          <cell r="H21">
            <v>38500</v>
          </cell>
          <cell r="I21">
            <v>17500</v>
          </cell>
          <cell r="J21">
            <v>56000</v>
          </cell>
          <cell r="K21">
            <v>57050</v>
          </cell>
        </row>
        <row r="22">
          <cell r="B22" t="str">
            <v>Ring Pesarium no.7</v>
          </cell>
          <cell r="C22">
            <v>1</v>
          </cell>
          <cell r="D22">
            <v>45000</v>
          </cell>
          <cell r="E22">
            <v>45000</v>
          </cell>
          <cell r="F22">
            <v>4500</v>
          </cell>
          <cell r="G22">
            <v>1350</v>
          </cell>
          <cell r="H22">
            <v>49500</v>
          </cell>
          <cell r="I22">
            <v>22500</v>
          </cell>
          <cell r="J22">
            <v>72000</v>
          </cell>
          <cell r="K22">
            <v>73350</v>
          </cell>
        </row>
        <row r="23">
          <cell r="B23" t="str">
            <v>Klip Plastik Obat Besar Indotik</v>
          </cell>
          <cell r="C23">
            <v>100</v>
          </cell>
          <cell r="D23">
            <v>95</v>
          </cell>
          <cell r="E23">
            <v>9500</v>
          </cell>
          <cell r="F23">
            <v>9.5</v>
          </cell>
          <cell r="G23">
            <v>2.85</v>
          </cell>
          <cell r="H23">
            <v>104.5</v>
          </cell>
          <cell r="I23">
            <v>47.5</v>
          </cell>
          <cell r="J23">
            <v>152</v>
          </cell>
          <cell r="K23">
            <v>154.85</v>
          </cell>
        </row>
        <row r="24">
          <cell r="B24" t="str">
            <v>Handscoon 5 Safe Glove</v>
          </cell>
          <cell r="C24">
            <v>2</v>
          </cell>
          <cell r="D24">
            <v>45000</v>
          </cell>
          <cell r="E24">
            <v>90000</v>
          </cell>
          <cell r="F24">
            <v>4500</v>
          </cell>
          <cell r="G24">
            <v>1350</v>
          </cell>
          <cell r="H24">
            <v>49500</v>
          </cell>
          <cell r="I24">
            <v>22500</v>
          </cell>
          <cell r="J24">
            <v>72000</v>
          </cell>
          <cell r="K24">
            <v>73350</v>
          </cell>
        </row>
        <row r="25">
          <cell r="B25" t="str">
            <v>Masker Nebu Dewasa Hexacare</v>
          </cell>
          <cell r="C25">
            <v>1</v>
          </cell>
          <cell r="D25">
            <v>15000</v>
          </cell>
          <cell r="E25">
            <v>15000</v>
          </cell>
          <cell r="F25">
            <v>1500</v>
          </cell>
          <cell r="G25">
            <v>450</v>
          </cell>
          <cell r="H25">
            <v>16500</v>
          </cell>
          <cell r="I25">
            <v>7500</v>
          </cell>
          <cell r="J25">
            <v>24000</v>
          </cell>
          <cell r="K25">
            <v>24450</v>
          </cell>
        </row>
        <row r="26">
          <cell r="B26" t="str">
            <v>Nasal 02 Dewasa Hexacare</v>
          </cell>
          <cell r="C26">
            <v>2</v>
          </cell>
          <cell r="D26">
            <v>6000</v>
          </cell>
          <cell r="E26">
            <v>12000</v>
          </cell>
          <cell r="F26">
            <v>600</v>
          </cell>
          <cell r="G26">
            <v>180</v>
          </cell>
          <cell r="H26">
            <v>6600</v>
          </cell>
          <cell r="I26">
            <v>3000</v>
          </cell>
          <cell r="J26">
            <v>9600</v>
          </cell>
          <cell r="K26">
            <v>9780</v>
          </cell>
        </row>
        <row r="27">
          <cell r="B27" t="str">
            <v>Tempat Korentang</v>
          </cell>
          <cell r="C27">
            <v>1</v>
          </cell>
          <cell r="D27">
            <v>65000</v>
          </cell>
          <cell r="E27">
            <v>65000</v>
          </cell>
          <cell r="F27">
            <v>6500</v>
          </cell>
          <cell r="G27">
            <v>1950</v>
          </cell>
          <cell r="H27">
            <v>71500</v>
          </cell>
          <cell r="I27">
            <v>32500</v>
          </cell>
          <cell r="J27">
            <v>104000</v>
          </cell>
          <cell r="K27">
            <v>105950</v>
          </cell>
        </row>
        <row r="28">
          <cell r="B28" t="str">
            <v>Korentang</v>
          </cell>
          <cell r="C28">
            <v>1</v>
          </cell>
          <cell r="D28">
            <v>55000</v>
          </cell>
          <cell r="E28">
            <v>55000</v>
          </cell>
          <cell r="F28">
            <v>5500</v>
          </cell>
          <cell r="G28">
            <v>1650</v>
          </cell>
          <cell r="H28">
            <v>60500</v>
          </cell>
          <cell r="I28">
            <v>27500</v>
          </cell>
          <cell r="J28">
            <v>88000</v>
          </cell>
          <cell r="K28">
            <v>89650</v>
          </cell>
        </row>
        <row r="29">
          <cell r="B29" t="str">
            <v>Alkohol SWAB Hexacare</v>
          </cell>
          <cell r="C29">
            <v>1</v>
          </cell>
          <cell r="D29">
            <v>10000</v>
          </cell>
          <cell r="E29">
            <v>10000</v>
          </cell>
          <cell r="F29">
            <v>1000</v>
          </cell>
          <cell r="G29">
            <v>300</v>
          </cell>
          <cell r="H29">
            <v>11000</v>
          </cell>
          <cell r="I29">
            <v>5000</v>
          </cell>
          <cell r="J29">
            <v>16000</v>
          </cell>
          <cell r="K29">
            <v>16300</v>
          </cell>
        </row>
        <row r="30">
          <cell r="B30" t="str">
            <v>Ultrafix 5x5 Onemade</v>
          </cell>
          <cell r="C30">
            <v>1</v>
          </cell>
          <cell r="D30">
            <v>10000</v>
          </cell>
          <cell r="E30">
            <v>10000</v>
          </cell>
          <cell r="F30">
            <v>1000</v>
          </cell>
          <cell r="G30">
            <v>300</v>
          </cell>
          <cell r="H30">
            <v>11000</v>
          </cell>
          <cell r="I30">
            <v>5000</v>
          </cell>
          <cell r="J30">
            <v>16000</v>
          </cell>
          <cell r="K30">
            <v>16300</v>
          </cell>
        </row>
        <row r="31">
          <cell r="B31" t="str">
            <v>My Jelly 82 gr Onemade</v>
          </cell>
          <cell r="C31">
            <v>1</v>
          </cell>
          <cell r="D31">
            <v>27000</v>
          </cell>
          <cell r="E31">
            <v>27000</v>
          </cell>
          <cell r="F31">
            <v>2700</v>
          </cell>
          <cell r="G31">
            <v>810</v>
          </cell>
          <cell r="H31">
            <v>29700</v>
          </cell>
          <cell r="I31">
            <v>13500</v>
          </cell>
          <cell r="J31">
            <v>43200</v>
          </cell>
          <cell r="K31">
            <v>44010</v>
          </cell>
        </row>
        <row r="32">
          <cell r="B32" t="str">
            <v>Pulse Oximeter A2</v>
          </cell>
          <cell r="C32">
            <v>1</v>
          </cell>
          <cell r="D32">
            <v>50000</v>
          </cell>
          <cell r="E32">
            <v>50000</v>
          </cell>
          <cell r="F32">
            <v>5000</v>
          </cell>
          <cell r="G32">
            <v>1500</v>
          </cell>
          <cell r="H32">
            <v>55000</v>
          </cell>
          <cell r="I32">
            <v>25000</v>
          </cell>
          <cell r="J32">
            <v>80000</v>
          </cell>
          <cell r="K32">
            <v>81500</v>
          </cell>
        </row>
        <row r="33">
          <cell r="B33" t="str">
            <v>Inflo 18 Onemade</v>
          </cell>
          <cell r="C33">
            <v>10</v>
          </cell>
          <cell r="D33">
            <v>3500</v>
          </cell>
          <cell r="E33">
            <v>35000</v>
          </cell>
          <cell r="F33">
            <v>350</v>
          </cell>
          <cell r="G33">
            <v>105</v>
          </cell>
          <cell r="H33">
            <v>3850</v>
          </cell>
          <cell r="I33">
            <v>1750</v>
          </cell>
          <cell r="J33">
            <v>5600</v>
          </cell>
          <cell r="K33">
            <v>5705</v>
          </cell>
        </row>
        <row r="34">
          <cell r="B34" t="str">
            <v>Inflo 20 Onemade</v>
          </cell>
          <cell r="C34">
            <v>5</v>
          </cell>
          <cell r="D34">
            <v>3500</v>
          </cell>
          <cell r="E34">
            <v>17500</v>
          </cell>
          <cell r="F34">
            <v>350</v>
          </cell>
          <cell r="G34">
            <v>105</v>
          </cell>
          <cell r="H34">
            <v>3850</v>
          </cell>
          <cell r="I34">
            <v>1750</v>
          </cell>
          <cell r="J34">
            <v>5600</v>
          </cell>
          <cell r="K34">
            <v>5705</v>
          </cell>
        </row>
        <row r="35">
          <cell r="B35" t="str">
            <v>Inflo 22 Onemade</v>
          </cell>
          <cell r="C35">
            <v>5</v>
          </cell>
          <cell r="D35">
            <v>3500</v>
          </cell>
          <cell r="E35">
            <v>17500</v>
          </cell>
          <cell r="F35">
            <v>350</v>
          </cell>
          <cell r="G35">
            <v>105</v>
          </cell>
          <cell r="H35">
            <v>3850</v>
          </cell>
          <cell r="I35">
            <v>1750</v>
          </cell>
          <cell r="J35">
            <v>5600</v>
          </cell>
          <cell r="K35">
            <v>5705</v>
          </cell>
        </row>
        <row r="36">
          <cell r="B36" t="str">
            <v>Inflo 24 Onemade</v>
          </cell>
          <cell r="C36">
            <v>5</v>
          </cell>
          <cell r="D36">
            <v>3500</v>
          </cell>
          <cell r="E36">
            <v>17500</v>
          </cell>
          <cell r="F36">
            <v>350</v>
          </cell>
          <cell r="G36">
            <v>105</v>
          </cell>
          <cell r="H36">
            <v>3850</v>
          </cell>
          <cell r="I36">
            <v>1750</v>
          </cell>
          <cell r="J36">
            <v>5600</v>
          </cell>
          <cell r="K36">
            <v>5705</v>
          </cell>
        </row>
        <row r="37">
          <cell r="B37" t="str">
            <v>Threeway Stop Cock Buntut Hexacare</v>
          </cell>
          <cell r="C37">
            <v>5</v>
          </cell>
          <cell r="D37">
            <v>10000</v>
          </cell>
          <cell r="E37">
            <v>50000</v>
          </cell>
          <cell r="F37">
            <v>1000</v>
          </cell>
          <cell r="G37">
            <v>300</v>
          </cell>
          <cell r="H37">
            <v>11000</v>
          </cell>
          <cell r="I37">
            <v>5000</v>
          </cell>
          <cell r="J37">
            <v>16000</v>
          </cell>
          <cell r="K37">
            <v>16300</v>
          </cell>
        </row>
        <row r="38">
          <cell r="B38" t="str">
            <v>Jelly USG 250 ml Hexacare</v>
          </cell>
          <cell r="C38">
            <v>1</v>
          </cell>
          <cell r="D38">
            <v>11000</v>
          </cell>
          <cell r="E38">
            <v>11000</v>
          </cell>
          <cell r="F38">
            <v>1100</v>
          </cell>
          <cell r="G38">
            <v>330</v>
          </cell>
          <cell r="H38">
            <v>12100</v>
          </cell>
          <cell r="I38">
            <v>5500</v>
          </cell>
          <cell r="J38">
            <v>17600</v>
          </cell>
          <cell r="K38">
            <v>17930</v>
          </cell>
        </row>
        <row r="39">
          <cell r="B39" t="str">
            <v>Okeplast Plester</v>
          </cell>
          <cell r="C39">
            <v>100</v>
          </cell>
          <cell r="D39">
            <v>200</v>
          </cell>
          <cell r="E39">
            <v>20000</v>
          </cell>
          <cell r="F39">
            <v>20</v>
          </cell>
          <cell r="G39">
            <v>6</v>
          </cell>
          <cell r="H39">
            <v>220</v>
          </cell>
          <cell r="I39">
            <v>100</v>
          </cell>
          <cell r="J39">
            <v>320</v>
          </cell>
          <cell r="K39">
            <v>326</v>
          </cell>
        </row>
        <row r="40">
          <cell r="B40" t="str">
            <v>Micropore 1/2 inch 3m</v>
          </cell>
          <cell r="C40">
            <v>1</v>
          </cell>
          <cell r="D40">
            <v>10000</v>
          </cell>
          <cell r="E40">
            <v>10000</v>
          </cell>
          <cell r="F40">
            <v>1000</v>
          </cell>
          <cell r="G40">
            <v>300</v>
          </cell>
          <cell r="H40">
            <v>11000</v>
          </cell>
          <cell r="I40">
            <v>5000</v>
          </cell>
          <cell r="J40">
            <v>16000</v>
          </cell>
          <cell r="K40">
            <v>16300</v>
          </cell>
        </row>
        <row r="41">
          <cell r="B41" t="str">
            <v>Micropore 1 inch 3m</v>
          </cell>
          <cell r="C41">
            <v>1</v>
          </cell>
          <cell r="D41">
            <v>18000</v>
          </cell>
          <cell r="E41">
            <v>18000</v>
          </cell>
          <cell r="F41">
            <v>1800</v>
          </cell>
          <cell r="G41">
            <v>540</v>
          </cell>
          <cell r="H41">
            <v>19800</v>
          </cell>
          <cell r="I41">
            <v>9000</v>
          </cell>
          <cell r="J41">
            <v>28800</v>
          </cell>
          <cell r="K41">
            <v>29340</v>
          </cell>
        </row>
        <row r="42">
          <cell r="B42" t="str">
            <v>Masker N95 1850 3M</v>
          </cell>
          <cell r="C42">
            <v>20</v>
          </cell>
          <cell r="D42">
            <v>6250</v>
          </cell>
          <cell r="E42">
            <v>125000</v>
          </cell>
          <cell r="F42">
            <v>625</v>
          </cell>
          <cell r="G42">
            <v>187.5</v>
          </cell>
          <cell r="H42">
            <v>6875</v>
          </cell>
          <cell r="I42">
            <v>3125</v>
          </cell>
          <cell r="J42">
            <v>10000</v>
          </cell>
          <cell r="K42">
            <v>10187.5</v>
          </cell>
        </row>
        <row r="43">
          <cell r="B43" t="str">
            <v>Masker Kf94 Careion</v>
          </cell>
          <cell r="C43">
            <v>30</v>
          </cell>
          <cell r="D43">
            <v>1000</v>
          </cell>
          <cell r="E43">
            <v>30000</v>
          </cell>
          <cell r="F43">
            <v>100</v>
          </cell>
          <cell r="G43">
            <v>30</v>
          </cell>
          <cell r="H43">
            <v>1100</v>
          </cell>
          <cell r="I43">
            <v>500</v>
          </cell>
          <cell r="J43">
            <v>1600</v>
          </cell>
          <cell r="K43">
            <v>1630</v>
          </cell>
        </row>
        <row r="44">
          <cell r="B44" t="str">
            <v>Blood Set</v>
          </cell>
          <cell r="C44">
            <v>1</v>
          </cell>
          <cell r="D44">
            <v>6963</v>
          </cell>
          <cell r="E44">
            <v>69930</v>
          </cell>
          <cell r="F44">
            <v>696.30000000000007</v>
          </cell>
          <cell r="G44">
            <v>208.89</v>
          </cell>
          <cell r="H44">
            <v>7659.3</v>
          </cell>
          <cell r="I44">
            <v>3481.5</v>
          </cell>
          <cell r="J44">
            <v>11140.8</v>
          </cell>
          <cell r="K44">
            <v>11349.689999999999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9D80D-0E6D-4403-9B06-6911664051B4}">
  <dimension ref="A1:O58"/>
  <sheetViews>
    <sheetView tabSelected="1" zoomScale="80" zoomScaleNormal="80" workbookViewId="0">
      <selection activeCell="G11" sqref="G11:G19"/>
    </sheetView>
  </sheetViews>
  <sheetFormatPr defaultRowHeight="15" x14ac:dyDescent="0.25"/>
  <cols>
    <col min="1" max="1" width="10.7109375" customWidth="1"/>
    <col min="3" max="3" width="6.140625" customWidth="1"/>
    <col min="4" max="4" width="18" customWidth="1"/>
    <col min="6" max="6" width="21.28515625" customWidth="1"/>
    <col min="7" max="7" width="22.5703125" customWidth="1"/>
  </cols>
  <sheetData>
    <row r="1" spans="1:11" ht="18.75" x14ac:dyDescent="0.3">
      <c r="A1" s="56" t="s">
        <v>87</v>
      </c>
      <c r="B1" s="56"/>
      <c r="C1" s="56"/>
      <c r="D1" s="56"/>
      <c r="E1" s="56"/>
      <c r="F1" s="56"/>
      <c r="G1" s="56"/>
    </row>
    <row r="2" spans="1:11" ht="12.75" customHeight="1" x14ac:dyDescent="0.25">
      <c r="A2" s="53" t="s">
        <v>50</v>
      </c>
      <c r="B2" s="53"/>
      <c r="C2" s="53"/>
      <c r="D2" s="53"/>
      <c r="E2" s="53"/>
      <c r="F2" s="53"/>
      <c r="G2" s="53"/>
    </row>
    <row r="3" spans="1:11" ht="12.75" hidden="1" customHeight="1" x14ac:dyDescent="0.25">
      <c r="A3" s="53" t="s">
        <v>185</v>
      </c>
      <c r="B3" s="53"/>
      <c r="C3" s="53"/>
      <c r="D3" s="53"/>
      <c r="E3" s="53"/>
      <c r="F3" s="53"/>
      <c r="G3" s="53"/>
    </row>
    <row r="4" spans="1:11" ht="12" customHeight="1" thickBot="1" x14ac:dyDescent="0.3">
      <c r="A4" s="53" t="s">
        <v>286</v>
      </c>
      <c r="B4" s="53"/>
      <c r="C4" s="53"/>
      <c r="D4" s="53"/>
      <c r="E4" s="53"/>
      <c r="F4" s="53"/>
      <c r="G4" s="53"/>
      <c r="I4" t="s">
        <v>185</v>
      </c>
    </row>
    <row r="5" spans="1:11" ht="19.5" thickTop="1" x14ac:dyDescent="0.3">
      <c r="A5" s="54"/>
      <c r="B5" s="54"/>
      <c r="C5" s="54"/>
      <c r="D5" s="54"/>
      <c r="E5" s="54"/>
      <c r="F5" s="54"/>
      <c r="G5" s="54"/>
    </row>
    <row r="6" spans="1:11" ht="15.75" x14ac:dyDescent="0.25">
      <c r="A6" s="55" t="s">
        <v>294</v>
      </c>
      <c r="B6" s="55"/>
      <c r="C6" s="55"/>
      <c r="D6" s="55"/>
      <c r="E6" s="55"/>
      <c r="F6" s="55"/>
      <c r="G6" s="55"/>
    </row>
    <row r="7" spans="1:11" ht="21" customHeight="1" x14ac:dyDescent="0.25">
      <c r="A7" s="11" t="s">
        <v>1</v>
      </c>
      <c r="B7" s="12"/>
      <c r="C7" s="11" t="s">
        <v>195</v>
      </c>
      <c r="D7" s="11" t="s">
        <v>293</v>
      </c>
      <c r="E7" s="47"/>
      <c r="F7" s="11"/>
      <c r="G7" s="43">
        <f ca="1">TODAY()</f>
        <v>46301</v>
      </c>
    </row>
    <row r="8" spans="1:11" ht="15.75" x14ac:dyDescent="0.25">
      <c r="A8" s="11" t="s">
        <v>2</v>
      </c>
      <c r="B8" s="11"/>
      <c r="C8" s="11" t="s">
        <v>195</v>
      </c>
      <c r="D8" s="11" t="str">
        <f>D7</f>
        <v>Yayuk Novita Dewi</v>
      </c>
      <c r="E8" s="11"/>
      <c r="F8" s="11"/>
      <c r="G8" s="11"/>
    </row>
    <row r="9" spans="1:11" ht="15.75" x14ac:dyDescent="0.25">
      <c r="A9" s="11" t="s">
        <v>3</v>
      </c>
      <c r="B9" s="11"/>
      <c r="C9" s="11" t="s">
        <v>196</v>
      </c>
      <c r="D9" s="11" t="s">
        <v>197</v>
      </c>
      <c r="E9" s="11"/>
      <c r="F9" s="11"/>
      <c r="G9" s="11"/>
    </row>
    <row r="10" spans="1:11" ht="15.75" x14ac:dyDescent="0.25">
      <c r="A10" s="11" t="s">
        <v>14</v>
      </c>
      <c r="B10" s="11"/>
      <c r="C10" s="11"/>
      <c r="D10" s="11"/>
      <c r="E10" s="11"/>
      <c r="F10" s="11"/>
      <c r="G10" s="1"/>
    </row>
    <row r="11" spans="1:11" x14ac:dyDescent="0.25">
      <c r="A11" s="37" t="s">
        <v>228</v>
      </c>
      <c r="B11" s="17" t="s">
        <v>6</v>
      </c>
      <c r="C11" s="17"/>
      <c r="D11" s="17"/>
      <c r="E11" s="17"/>
      <c r="F11" s="17"/>
      <c r="G11" s="52">
        <f>VLOOKUP(B11,HARGA!$B$3:$D$181,3,FALSE)</f>
        <v>120000</v>
      </c>
      <c r="I11" t="s">
        <v>258</v>
      </c>
    </row>
    <row r="12" spans="1:11" x14ac:dyDescent="0.25">
      <c r="A12" s="37"/>
      <c r="B12" s="17" t="s">
        <v>7</v>
      </c>
      <c r="C12" s="17"/>
      <c r="D12" s="17"/>
      <c r="E12" s="17"/>
      <c r="F12" s="17"/>
      <c r="G12" s="52">
        <f>VLOOKUP(B12,HARGA!$B$3:$D$181,3,FALSE)</f>
        <v>80000</v>
      </c>
      <c r="K12" t="s">
        <v>203</v>
      </c>
    </row>
    <row r="13" spans="1:11" x14ac:dyDescent="0.25">
      <c r="A13" s="37"/>
      <c r="B13" s="17" t="s">
        <v>97</v>
      </c>
      <c r="C13" s="17"/>
      <c r="D13" s="17"/>
      <c r="E13" s="17"/>
      <c r="F13" s="17"/>
      <c r="G13" s="52">
        <f>VLOOKUP(B13,HARGA!$B$3:$D$181,3,FALSE)</f>
        <v>275000</v>
      </c>
    </row>
    <row r="14" spans="1:11" ht="15.75" x14ac:dyDescent="0.25">
      <c r="A14" s="37" t="s">
        <v>88</v>
      </c>
      <c r="B14" s="11" t="s">
        <v>277</v>
      </c>
      <c r="C14" s="17"/>
      <c r="D14" s="17"/>
      <c r="E14" s="17">
        <v>10</v>
      </c>
      <c r="F14" s="17" t="s">
        <v>73</v>
      </c>
      <c r="G14" s="52">
        <f>VLOOKUP(B14,HARGA!$B$3:$D$181,3,FALSE)*E14</f>
        <v>75000</v>
      </c>
      <c r="J14" t="s">
        <v>284</v>
      </c>
    </row>
    <row r="15" spans="1:11" ht="15.75" x14ac:dyDescent="0.25">
      <c r="A15" s="37"/>
      <c r="B15" s="11" t="s">
        <v>285</v>
      </c>
      <c r="C15" s="17"/>
      <c r="D15" s="17"/>
      <c r="E15" s="17">
        <v>5</v>
      </c>
      <c r="F15" s="17" t="s">
        <v>73</v>
      </c>
      <c r="G15" s="52">
        <f>VLOOKUP(B15,HARGA!$B$3:$D$181,3,FALSE)*E15</f>
        <v>125000</v>
      </c>
    </row>
    <row r="16" spans="1:11" ht="15.75" x14ac:dyDescent="0.25">
      <c r="A16" s="37"/>
      <c r="B16" s="11" t="s">
        <v>95</v>
      </c>
      <c r="C16" s="17"/>
      <c r="D16" s="17"/>
      <c r="E16" s="17">
        <v>6</v>
      </c>
      <c r="F16" s="17" t="s">
        <v>73</v>
      </c>
      <c r="G16" s="52">
        <f>VLOOKUP(B16,HARGA!$B$3:$D$181,3,FALSE)*E16</f>
        <v>42000</v>
      </c>
    </row>
    <row r="17" spans="1:15" ht="15.75" x14ac:dyDescent="0.25">
      <c r="A17" s="37"/>
      <c r="B17" s="11" t="s">
        <v>108</v>
      </c>
      <c r="C17" s="17"/>
      <c r="D17" s="17"/>
      <c r="E17" s="17">
        <v>1</v>
      </c>
      <c r="F17" s="17" t="s">
        <v>73</v>
      </c>
      <c r="G17" s="52">
        <f>VLOOKUP(B17,HARGA!$B$3:$D$181,3,FALSE)*E17</f>
        <v>10000</v>
      </c>
    </row>
    <row r="18" spans="1:15" ht="15.75" x14ac:dyDescent="0.25">
      <c r="A18" s="37"/>
      <c r="B18" s="11" t="s">
        <v>93</v>
      </c>
      <c r="C18" s="17"/>
      <c r="D18" s="17"/>
      <c r="E18" s="17">
        <v>1</v>
      </c>
      <c r="F18" s="17" t="s">
        <v>73</v>
      </c>
      <c r="G18" s="52">
        <f>VLOOKUP(B18,HARGA!$B$3:$D$181,3,FALSE)*E18</f>
        <v>10000</v>
      </c>
    </row>
    <row r="19" spans="1:15" ht="15.75" x14ac:dyDescent="0.25">
      <c r="A19" s="37"/>
      <c r="B19" s="11" t="s">
        <v>295</v>
      </c>
      <c r="C19" s="17"/>
      <c r="D19" s="17"/>
      <c r="E19" s="17">
        <v>1</v>
      </c>
      <c r="F19" s="17" t="s">
        <v>73</v>
      </c>
      <c r="G19" s="52">
        <v>2000</v>
      </c>
    </row>
    <row r="20" spans="1:15" x14ac:dyDescent="0.25">
      <c r="A20" s="37"/>
      <c r="B20" s="17"/>
      <c r="C20" s="17"/>
      <c r="D20" s="17"/>
      <c r="E20" s="17"/>
      <c r="F20" s="17"/>
      <c r="G20" s="1" t="s">
        <v>203</v>
      </c>
    </row>
    <row r="21" spans="1:15" ht="15.75" x14ac:dyDescent="0.25">
      <c r="A21" s="16" t="s">
        <v>9</v>
      </c>
      <c r="B21" s="16"/>
      <c r="C21" s="16"/>
      <c r="D21" s="16"/>
      <c r="E21" s="16"/>
      <c r="F21" s="16"/>
      <c r="G21" s="48">
        <f>SUM(G11:G20)</f>
        <v>739000</v>
      </c>
    </row>
    <row r="22" spans="1:15" ht="15.75" x14ac:dyDescent="0.25">
      <c r="A22" s="11"/>
      <c r="B22" s="11"/>
      <c r="C22" s="11"/>
      <c r="D22" s="11"/>
      <c r="E22" s="11"/>
      <c r="F22" s="11"/>
      <c r="G22" s="14"/>
      <c r="O22" t="s">
        <v>203</v>
      </c>
    </row>
    <row r="23" spans="1:15" ht="15.75" x14ac:dyDescent="0.25">
      <c r="A23" s="11" t="s">
        <v>12</v>
      </c>
      <c r="B23" s="11"/>
      <c r="C23" s="46" t="s">
        <v>13</v>
      </c>
      <c r="D23" s="11"/>
      <c r="E23" s="11"/>
      <c r="F23" s="11"/>
      <c r="G23" s="11"/>
    </row>
    <row r="24" spans="1:15" ht="15.75" x14ac:dyDescent="0.25">
      <c r="A24" s="11" t="s">
        <v>10</v>
      </c>
      <c r="B24" s="11"/>
      <c r="C24" s="46" t="s">
        <v>13</v>
      </c>
      <c r="D24" s="16" t="str">
        <f>PROPER([1]!terbilang(G21))&amp;"Rupiah"</f>
        <v>Tujuhratus Tigapuluh Sembilan Ribu Rupiah</v>
      </c>
      <c r="E24" s="11"/>
      <c r="F24" s="11"/>
      <c r="G24" s="11"/>
    </row>
    <row r="25" spans="1:15" ht="8.25" customHeight="1" x14ac:dyDescent="0.25">
      <c r="A25" s="11"/>
      <c r="B25" s="11"/>
      <c r="C25" s="11"/>
      <c r="D25" s="11"/>
      <c r="E25" s="11"/>
      <c r="F25" s="11"/>
      <c r="G25" s="11"/>
    </row>
    <row r="26" spans="1:15" ht="15.75" x14ac:dyDescent="0.25">
      <c r="A26" s="11"/>
      <c r="B26" s="11"/>
      <c r="C26" s="11"/>
      <c r="D26" s="11"/>
      <c r="E26" s="11"/>
      <c r="F26" s="11"/>
      <c r="G26" s="11" t="s">
        <v>16</v>
      </c>
    </row>
    <row r="27" spans="1:15" ht="15.75" x14ac:dyDescent="0.25">
      <c r="A27" s="11"/>
      <c r="B27" s="11"/>
      <c r="C27" s="11"/>
      <c r="D27" s="11"/>
      <c r="E27" s="11"/>
      <c r="F27" s="11"/>
      <c r="G27" s="11"/>
      <c r="I27" t="s">
        <v>260</v>
      </c>
    </row>
    <row r="28" spans="1:15" ht="15.75" x14ac:dyDescent="0.25">
      <c r="A28" s="11"/>
      <c r="B28" s="11"/>
      <c r="C28" s="11"/>
      <c r="D28" s="11"/>
      <c r="E28" s="11"/>
      <c r="F28" s="11"/>
      <c r="G28" s="11"/>
    </row>
    <row r="29" spans="1:15" ht="15.75" x14ac:dyDescent="0.25">
      <c r="A29" s="11"/>
      <c r="B29" s="11"/>
      <c r="C29" s="11"/>
      <c r="D29" s="11"/>
      <c r="E29" s="11"/>
      <c r="F29" s="11"/>
      <c r="G29" s="11" t="s">
        <v>17</v>
      </c>
    </row>
    <row r="30" spans="1:15" ht="15.75" x14ac:dyDescent="0.25">
      <c r="A30" s="11"/>
      <c r="B30" s="11"/>
      <c r="C30" s="11"/>
      <c r="D30" s="11"/>
      <c r="E30" s="11"/>
      <c r="F30" s="11"/>
      <c r="G30" s="11"/>
    </row>
    <row r="31" spans="1:15" ht="15.75" x14ac:dyDescent="0.25">
      <c r="A31" s="28"/>
      <c r="B31" s="28"/>
      <c r="C31" s="28"/>
      <c r="D31" s="28"/>
      <c r="E31" s="28"/>
      <c r="F31" s="28"/>
      <c r="G31" s="28"/>
    </row>
    <row r="32" spans="1:15" ht="15.75" x14ac:dyDescent="0.25">
      <c r="A32" s="11"/>
      <c r="B32" s="11"/>
      <c r="C32" s="11"/>
      <c r="D32" s="11"/>
      <c r="E32" s="11"/>
      <c r="F32" s="11"/>
      <c r="G32" s="11"/>
    </row>
    <row r="34" spans="1:7" ht="18.75" x14ac:dyDescent="0.3">
      <c r="A34" s="56" t="s">
        <v>203</v>
      </c>
      <c r="B34" s="56"/>
      <c r="C34" s="56"/>
      <c r="D34" s="56"/>
      <c r="E34" s="56"/>
      <c r="F34" s="56"/>
      <c r="G34" s="56"/>
    </row>
    <row r="35" spans="1:7" x14ac:dyDescent="0.25">
      <c r="A35" s="53" t="s">
        <v>50</v>
      </c>
      <c r="B35" s="53"/>
      <c r="C35" s="53"/>
      <c r="D35" s="53"/>
      <c r="E35" s="53"/>
      <c r="F35" s="53"/>
      <c r="G35" s="53"/>
    </row>
    <row r="36" spans="1:7" ht="15.75" thickBot="1" x14ac:dyDescent="0.3">
      <c r="A36" s="53" t="s">
        <v>286</v>
      </c>
      <c r="B36" s="53"/>
      <c r="C36" s="53"/>
      <c r="D36" s="53"/>
      <c r="E36" s="53"/>
      <c r="F36" s="53"/>
      <c r="G36" s="53"/>
    </row>
    <row r="37" spans="1:7" ht="19.5" thickTop="1" x14ac:dyDescent="0.3">
      <c r="A37" s="54" t="s">
        <v>0</v>
      </c>
      <c r="B37" s="54"/>
      <c r="C37" s="54"/>
      <c r="D37" s="54"/>
      <c r="E37" s="54"/>
      <c r="F37" s="54"/>
      <c r="G37" s="54"/>
    </row>
    <row r="38" spans="1:7" ht="15.75" x14ac:dyDescent="0.25">
      <c r="A38" s="55" t="str">
        <f>A6</f>
        <v>NO : 367/1026</v>
      </c>
      <c r="B38" s="55"/>
      <c r="C38" s="55"/>
      <c r="D38" s="55"/>
      <c r="E38" s="55"/>
      <c r="F38" s="55"/>
      <c r="G38" s="55"/>
    </row>
    <row r="39" spans="1:7" ht="15.75" x14ac:dyDescent="0.25">
      <c r="A39" s="11"/>
      <c r="B39" s="11"/>
      <c r="C39" s="11"/>
      <c r="D39" s="11"/>
      <c r="E39" s="11"/>
      <c r="F39" s="11"/>
      <c r="G39" s="11"/>
    </row>
    <row r="40" spans="1:7" ht="15.75" x14ac:dyDescent="0.25">
      <c r="A40" s="11" t="s">
        <v>1</v>
      </c>
      <c r="B40" s="12"/>
      <c r="C40" s="11" t="s">
        <v>195</v>
      </c>
      <c r="D40" s="11" t="str">
        <f>D7</f>
        <v>Yayuk Novita Dewi</v>
      </c>
      <c r="E40" s="11"/>
      <c r="F40" s="11"/>
      <c r="G40" s="13">
        <f ca="1">TODAY()</f>
        <v>46301</v>
      </c>
    </row>
    <row r="41" spans="1:7" ht="15.75" x14ac:dyDescent="0.25">
      <c r="A41" s="11" t="s">
        <v>2</v>
      </c>
      <c r="B41" s="11"/>
      <c r="C41" s="11" t="s">
        <v>195</v>
      </c>
      <c r="D41" s="11" t="str">
        <f>D40</f>
        <v>Yayuk Novita Dewi</v>
      </c>
      <c r="E41" s="11"/>
      <c r="F41" s="11"/>
      <c r="G41" s="11"/>
    </row>
    <row r="42" spans="1:7" ht="15.75" x14ac:dyDescent="0.25">
      <c r="A42" s="11" t="s">
        <v>3</v>
      </c>
      <c r="B42" s="11"/>
      <c r="C42" s="11" t="s">
        <v>196</v>
      </c>
      <c r="D42" s="11" t="s">
        <v>197</v>
      </c>
      <c r="E42" s="11"/>
      <c r="F42" s="11"/>
      <c r="G42" s="11"/>
    </row>
    <row r="43" spans="1:7" ht="15.75" x14ac:dyDescent="0.25">
      <c r="A43" s="11" t="s">
        <v>14</v>
      </c>
      <c r="B43" s="11"/>
      <c r="C43" s="11"/>
      <c r="D43" s="11"/>
      <c r="E43" s="11"/>
      <c r="F43" s="11"/>
      <c r="G43" s="11"/>
    </row>
    <row r="44" spans="1:7" x14ac:dyDescent="0.25">
      <c r="A44" s="37" t="s">
        <v>85</v>
      </c>
      <c r="B44" s="17" t="s">
        <v>6</v>
      </c>
      <c r="C44" s="17"/>
      <c r="D44" s="17"/>
      <c r="E44" s="17"/>
      <c r="F44" s="17"/>
      <c r="G44" s="1">
        <f>VLOOKUP(B44,HARGA!$B$3:$D$181,3,FALSE)</f>
        <v>120000</v>
      </c>
    </row>
    <row r="45" spans="1:7" x14ac:dyDescent="0.25">
      <c r="A45" s="37"/>
      <c r="B45" s="17" t="s">
        <v>7</v>
      </c>
      <c r="C45" s="17"/>
      <c r="D45" s="17"/>
      <c r="E45" s="17"/>
      <c r="F45" s="17"/>
      <c r="G45" s="1">
        <f>VLOOKUP(B45,HARGA!$B$3:$D$181,3,FALSE)</f>
        <v>80000</v>
      </c>
    </row>
    <row r="46" spans="1:7" x14ac:dyDescent="0.25">
      <c r="A46" s="37"/>
      <c r="B46" s="17" t="s">
        <v>98</v>
      </c>
      <c r="C46" s="17"/>
      <c r="D46" s="17"/>
      <c r="E46" s="35"/>
      <c r="F46" s="17"/>
      <c r="G46" s="1">
        <f>VLOOKUP(B46,HARGA!$B$3:$D$181,3,FALSE)</f>
        <v>450000</v>
      </c>
    </row>
    <row r="47" spans="1:7" x14ac:dyDescent="0.25">
      <c r="A47" s="37" t="s">
        <v>88</v>
      </c>
      <c r="B47" s="17" t="s">
        <v>95</v>
      </c>
      <c r="C47" s="17"/>
      <c r="D47" s="17"/>
      <c r="E47" s="35">
        <v>6</v>
      </c>
      <c r="F47" s="17" t="s">
        <v>73</v>
      </c>
      <c r="G47" s="1">
        <f>VLOOKUP(B47,HARGA!$B$3:$D$181,3,FALSE)*E47</f>
        <v>42000</v>
      </c>
    </row>
    <row r="48" spans="1:7" x14ac:dyDescent="0.25">
      <c r="A48" s="37"/>
      <c r="B48" s="17" t="s">
        <v>108</v>
      </c>
      <c r="C48" s="17"/>
      <c r="D48" s="17"/>
      <c r="E48" s="35">
        <v>1</v>
      </c>
      <c r="F48" s="17" t="s">
        <v>73</v>
      </c>
      <c r="G48" s="1">
        <f>VLOOKUP(B48,HARGA!$B$3:$D$181,3,FALSE)*E48</f>
        <v>10000</v>
      </c>
    </row>
    <row r="49" spans="1:7" x14ac:dyDescent="0.25">
      <c r="A49" s="37"/>
      <c r="B49" s="17" t="s">
        <v>41</v>
      </c>
      <c r="C49" s="17"/>
      <c r="D49" s="17"/>
      <c r="E49" s="35">
        <v>1</v>
      </c>
      <c r="F49" s="17" t="s">
        <v>73</v>
      </c>
      <c r="G49" s="1">
        <f>VLOOKUP(B49,HARGA!$B$3:$D$181,3,FALSE)*E49</f>
        <v>650000</v>
      </c>
    </row>
    <row r="50" spans="1:7" ht="15.75" x14ac:dyDescent="0.25">
      <c r="A50" s="37"/>
      <c r="B50" s="11"/>
      <c r="C50" s="11"/>
      <c r="D50" s="11"/>
      <c r="E50" s="11"/>
      <c r="F50" s="11"/>
      <c r="G50" s="1"/>
    </row>
    <row r="51" spans="1:7" ht="15.75" x14ac:dyDescent="0.25">
      <c r="A51" s="16" t="s">
        <v>9</v>
      </c>
      <c r="B51" s="11"/>
      <c r="C51" s="11"/>
      <c r="D51" s="11"/>
      <c r="E51" s="11"/>
      <c r="F51" s="11"/>
      <c r="G51" s="15">
        <f>SUM(G44:G50)</f>
        <v>1352000</v>
      </c>
    </row>
    <row r="52" spans="1:7" ht="15.75" x14ac:dyDescent="0.25">
      <c r="A52" s="11" t="s">
        <v>12</v>
      </c>
      <c r="B52" s="11"/>
      <c r="C52" s="11" t="s">
        <v>11</v>
      </c>
      <c r="D52" s="11"/>
      <c r="E52" s="11"/>
      <c r="F52" s="11"/>
      <c r="G52" s="11"/>
    </row>
    <row r="53" spans="1:7" ht="15.75" x14ac:dyDescent="0.25">
      <c r="A53" s="11" t="s">
        <v>10</v>
      </c>
      <c r="B53" s="11"/>
      <c r="C53" s="16" t="s">
        <v>13</v>
      </c>
      <c r="D53" s="16" t="str">
        <f>PROPER([1]!terbilang(G51))&amp;"Rupiah"</f>
        <v>Satu Juta Tigaratus Limapuluh Dua Ribu Rupiah</v>
      </c>
      <c r="E53" s="11"/>
      <c r="F53" s="11"/>
      <c r="G53" s="11"/>
    </row>
    <row r="54" spans="1:7" ht="15.75" x14ac:dyDescent="0.25">
      <c r="A54" s="11"/>
      <c r="B54" s="11"/>
      <c r="C54" s="11"/>
      <c r="D54" s="11"/>
      <c r="E54" s="11"/>
      <c r="F54" s="11"/>
      <c r="G54" s="11" t="s">
        <v>16</v>
      </c>
    </row>
    <row r="55" spans="1:7" ht="15.75" x14ac:dyDescent="0.25">
      <c r="A55" s="11"/>
      <c r="B55" s="11"/>
      <c r="C55" s="11"/>
      <c r="D55" s="11"/>
      <c r="E55" s="11"/>
      <c r="F55" s="11"/>
      <c r="G55" s="11"/>
    </row>
    <row r="56" spans="1:7" ht="15.75" x14ac:dyDescent="0.25">
      <c r="A56" s="11"/>
      <c r="B56" s="11"/>
      <c r="C56" s="11"/>
      <c r="D56" s="11"/>
      <c r="E56" s="11"/>
      <c r="F56" s="11"/>
      <c r="G56" s="11"/>
    </row>
    <row r="57" spans="1:7" ht="15.75" x14ac:dyDescent="0.25">
      <c r="A57" s="11"/>
      <c r="B57" s="11"/>
      <c r="C57" s="11"/>
      <c r="D57" s="11"/>
      <c r="E57" s="11"/>
      <c r="F57" s="11"/>
      <c r="G57" s="11" t="s">
        <v>17</v>
      </c>
    </row>
    <row r="58" spans="1:7" ht="15.75" x14ac:dyDescent="0.25">
      <c r="A58" s="11"/>
      <c r="B58" s="11"/>
      <c r="C58" s="11"/>
      <c r="D58" s="11"/>
      <c r="E58" s="11"/>
      <c r="F58" s="11"/>
      <c r="G58" s="11"/>
    </row>
  </sheetData>
  <mergeCells count="11">
    <mergeCell ref="A35:G35"/>
    <mergeCell ref="A36:G36"/>
    <mergeCell ref="A37:G37"/>
    <mergeCell ref="A38:G38"/>
    <mergeCell ref="A1:G1"/>
    <mergeCell ref="A2:G2"/>
    <mergeCell ref="A4:G4"/>
    <mergeCell ref="A5:G5"/>
    <mergeCell ref="A6:G6"/>
    <mergeCell ref="A34:G34"/>
    <mergeCell ref="A3:G3"/>
  </mergeCells>
  <pageMargins left="0.23622047244094491" right="0.23622047244094491" top="0.35433070866141736" bottom="0" header="0.31496062992125984" footer="0.31496062992125984"/>
  <pageSetup paperSize="9" orientation="portrait" horizontalDpi="18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0AFE2-5476-4C5A-8D1A-6402FCD6E27A}">
  <dimension ref="A1:G56"/>
  <sheetViews>
    <sheetView zoomScale="80" zoomScaleNormal="80" workbookViewId="0">
      <selection activeCell="B11" sqref="B11:B12"/>
    </sheetView>
  </sheetViews>
  <sheetFormatPr defaultRowHeight="15" x14ac:dyDescent="0.25"/>
  <cols>
    <col min="1" max="1" width="11.42578125" customWidth="1"/>
    <col min="3" max="3" width="6" customWidth="1"/>
    <col min="6" max="6" width="30" customWidth="1"/>
    <col min="7" max="7" width="21.42578125" customWidth="1"/>
  </cols>
  <sheetData>
    <row r="1" spans="1:7" ht="18.75" x14ac:dyDescent="0.3">
      <c r="A1" s="56" t="s">
        <v>76</v>
      </c>
      <c r="B1" s="56"/>
      <c r="C1" s="56"/>
      <c r="D1" s="56"/>
      <c r="E1" s="56"/>
      <c r="F1" s="56"/>
      <c r="G1" s="56"/>
    </row>
    <row r="2" spans="1:7" ht="12.75" customHeight="1" x14ac:dyDescent="0.25">
      <c r="A2" s="53" t="s">
        <v>50</v>
      </c>
      <c r="B2" s="53"/>
      <c r="C2" s="53"/>
      <c r="D2" s="53"/>
      <c r="E2" s="53"/>
      <c r="F2" s="53"/>
      <c r="G2" s="53"/>
    </row>
    <row r="3" spans="1:7" ht="12" customHeight="1" thickBot="1" x14ac:dyDescent="0.3">
      <c r="A3" s="53" t="s">
        <v>286</v>
      </c>
      <c r="B3" s="53"/>
      <c r="C3" s="53"/>
      <c r="D3" s="53"/>
      <c r="E3" s="53"/>
      <c r="F3" s="53"/>
      <c r="G3" s="53"/>
    </row>
    <row r="4" spans="1:7" ht="19.5" thickTop="1" x14ac:dyDescent="0.3">
      <c r="A4" s="54" t="s">
        <v>0</v>
      </c>
      <c r="B4" s="54"/>
      <c r="C4" s="54"/>
      <c r="D4" s="54"/>
      <c r="E4" s="54"/>
      <c r="F4" s="54"/>
      <c r="G4" s="54"/>
    </row>
    <row r="5" spans="1:7" ht="15.75" x14ac:dyDescent="0.25">
      <c r="A5" s="55" t="str">
        <f>'KWITANSI FULL '!A6:G6</f>
        <v>NO : 367/1026</v>
      </c>
      <c r="B5" s="55"/>
      <c r="C5" s="55"/>
      <c r="D5" s="55"/>
      <c r="E5" s="55"/>
      <c r="F5" s="55"/>
      <c r="G5" s="55"/>
    </row>
    <row r="6" spans="1:7" ht="4.5" customHeight="1" x14ac:dyDescent="0.25">
      <c r="A6" s="11"/>
      <c r="B6" s="11"/>
      <c r="C6" s="11"/>
      <c r="D6" s="11"/>
      <c r="E6" s="11"/>
      <c r="F6" s="11"/>
      <c r="G6" s="11"/>
    </row>
    <row r="7" spans="1:7" ht="15.75" x14ac:dyDescent="0.25">
      <c r="A7" s="11" t="s">
        <v>1</v>
      </c>
      <c r="B7" s="12"/>
      <c r="C7" s="11" t="s">
        <v>195</v>
      </c>
      <c r="D7" s="11" t="str">
        <f>'KWITANSI FULL '!D7</f>
        <v>Yayuk Novita Dewi</v>
      </c>
      <c r="E7" s="11"/>
      <c r="F7" s="11"/>
      <c r="G7" s="13">
        <f ca="1">TODAY()</f>
        <v>46301</v>
      </c>
    </row>
    <row r="8" spans="1:7" ht="15.75" x14ac:dyDescent="0.25">
      <c r="A8" s="11" t="s">
        <v>2</v>
      </c>
      <c r="B8" s="11"/>
      <c r="C8" s="11" t="s">
        <v>195</v>
      </c>
      <c r="D8" s="11" t="str">
        <f>D7</f>
        <v>Yayuk Novita Dewi</v>
      </c>
      <c r="E8" s="11"/>
      <c r="F8" s="11"/>
      <c r="G8" s="11"/>
    </row>
    <row r="9" spans="1:7" ht="15.75" x14ac:dyDescent="0.25">
      <c r="A9" s="11" t="s">
        <v>3</v>
      </c>
      <c r="B9" s="11"/>
      <c r="C9" s="11" t="s">
        <v>196</v>
      </c>
      <c r="D9" s="11" t="s">
        <v>197</v>
      </c>
      <c r="E9" s="11"/>
      <c r="F9" s="11"/>
      <c r="G9" s="11"/>
    </row>
    <row r="10" spans="1:7" ht="15.75" x14ac:dyDescent="0.25">
      <c r="A10" s="11" t="s">
        <v>14</v>
      </c>
      <c r="B10" s="11"/>
      <c r="C10" s="11"/>
      <c r="D10" s="11"/>
      <c r="E10" s="11"/>
      <c r="F10" s="11"/>
      <c r="G10" s="11"/>
    </row>
    <row r="11" spans="1:7" x14ac:dyDescent="0.25">
      <c r="A11" s="37" t="s">
        <v>85</v>
      </c>
      <c r="B11" s="30" t="s">
        <v>6</v>
      </c>
      <c r="C11" s="17"/>
      <c r="D11" s="17"/>
      <c r="E11" s="17"/>
      <c r="F11" s="17"/>
      <c r="G11" s="52">
        <f>VLOOKUP(B11,HARGA!$B$3:$D$181,3,FALSE)</f>
        <v>120000</v>
      </c>
    </row>
    <row r="12" spans="1:7" x14ac:dyDescent="0.25">
      <c r="A12" s="37"/>
      <c r="B12" s="30" t="s">
        <v>7</v>
      </c>
      <c r="C12" s="17"/>
      <c r="D12" s="17"/>
      <c r="E12" s="35"/>
      <c r="F12" s="17"/>
      <c r="G12" s="52">
        <f>VLOOKUP(B12,HARGA!$B$3:$D$181,3,FALSE)</f>
        <v>80000</v>
      </c>
    </row>
    <row r="13" spans="1:7" x14ac:dyDescent="0.25">
      <c r="A13" s="37"/>
      <c r="B13" s="30"/>
      <c r="C13" s="17"/>
      <c r="D13" s="17"/>
      <c r="E13" s="35"/>
      <c r="F13" s="17"/>
      <c r="G13" s="1"/>
    </row>
    <row r="14" spans="1:7" ht="15.75" x14ac:dyDescent="0.25">
      <c r="A14" s="11" t="s">
        <v>9</v>
      </c>
      <c r="B14" s="11"/>
      <c r="C14" s="11"/>
      <c r="D14" s="11"/>
      <c r="E14" s="11"/>
      <c r="F14" s="11"/>
      <c r="G14" s="15">
        <f>SUM(G11:G12)</f>
        <v>200000</v>
      </c>
    </row>
    <row r="15" spans="1:7" ht="15.75" x14ac:dyDescent="0.25">
      <c r="A15" s="11"/>
      <c r="B15" s="11"/>
      <c r="C15" s="11"/>
      <c r="D15" s="11"/>
      <c r="E15" s="11"/>
      <c r="F15" s="11"/>
      <c r="G15" s="15"/>
    </row>
    <row r="16" spans="1:7" ht="15.75" x14ac:dyDescent="0.25">
      <c r="A16" s="11"/>
      <c r="B16" s="11"/>
      <c r="C16" s="11"/>
      <c r="D16" s="11"/>
      <c r="E16" s="11"/>
      <c r="F16" s="11"/>
      <c r="G16" s="14"/>
    </row>
    <row r="17" spans="1:7" ht="15.75" x14ac:dyDescent="0.25">
      <c r="A17" s="11" t="s">
        <v>12</v>
      </c>
      <c r="B17" s="11"/>
      <c r="C17" s="11" t="s">
        <v>11</v>
      </c>
      <c r="D17" s="11"/>
      <c r="E17" s="11"/>
      <c r="F17" s="11"/>
      <c r="G17" s="11"/>
    </row>
    <row r="18" spans="1:7" ht="15.75" x14ac:dyDescent="0.25">
      <c r="A18" s="11" t="s">
        <v>10</v>
      </c>
      <c r="B18" s="11"/>
      <c r="C18" s="16" t="s">
        <v>13</v>
      </c>
      <c r="D18" s="16" t="str">
        <f>PROPER([1]!terbilang(G14))&amp;"Rupiah"</f>
        <v>Duaratus  Ribu Rupiah</v>
      </c>
      <c r="E18" s="11"/>
      <c r="F18" s="11"/>
      <c r="G18" s="11"/>
    </row>
    <row r="19" spans="1:7" ht="8.25" customHeight="1" x14ac:dyDescent="0.25">
      <c r="A19" s="11"/>
      <c r="B19" s="11"/>
      <c r="C19" s="11"/>
      <c r="D19" s="11"/>
      <c r="E19" s="11"/>
      <c r="F19" s="11"/>
      <c r="G19" s="11"/>
    </row>
    <row r="20" spans="1:7" ht="15.75" x14ac:dyDescent="0.25">
      <c r="A20" s="11"/>
      <c r="B20" s="11"/>
      <c r="C20" s="11"/>
      <c r="D20" s="11"/>
      <c r="E20" s="11"/>
      <c r="F20" s="11"/>
      <c r="G20" s="11" t="s">
        <v>16</v>
      </c>
    </row>
    <row r="21" spans="1:7" ht="15.75" x14ac:dyDescent="0.25">
      <c r="A21" s="11"/>
      <c r="B21" s="11"/>
      <c r="C21" s="11"/>
      <c r="D21" s="11"/>
      <c r="E21" s="11"/>
      <c r="F21" s="11"/>
      <c r="G21" s="11"/>
    </row>
    <row r="22" spans="1:7" ht="15.75" x14ac:dyDescent="0.25">
      <c r="A22" s="11"/>
      <c r="B22" s="11"/>
      <c r="C22" s="11"/>
      <c r="D22" s="11"/>
      <c r="E22" s="11"/>
      <c r="F22" s="11"/>
      <c r="G22" s="11"/>
    </row>
    <row r="23" spans="1:7" ht="15.75" x14ac:dyDescent="0.25">
      <c r="A23" s="11"/>
      <c r="B23" s="11"/>
      <c r="C23" s="11"/>
      <c r="D23" s="11"/>
      <c r="E23" s="11"/>
      <c r="F23" s="11"/>
      <c r="G23" s="11" t="s">
        <v>17</v>
      </c>
    </row>
    <row r="24" spans="1:7" ht="15.75" x14ac:dyDescent="0.25">
      <c r="A24" s="11"/>
      <c r="B24" s="11"/>
      <c r="C24" s="11"/>
      <c r="D24" s="11"/>
      <c r="E24" s="11"/>
      <c r="F24" s="11"/>
      <c r="G24" s="11"/>
    </row>
    <row r="25" spans="1:7" ht="15.75" x14ac:dyDescent="0.25">
      <c r="A25" s="33"/>
      <c r="B25" s="33"/>
      <c r="C25" s="33"/>
      <c r="D25" s="33"/>
      <c r="E25" s="33"/>
      <c r="F25" s="33"/>
      <c r="G25" s="33"/>
    </row>
    <row r="26" spans="1:7" ht="15.75" x14ac:dyDescent="0.25">
      <c r="A26" s="11"/>
      <c r="B26" s="11"/>
      <c r="C26" s="11"/>
      <c r="D26" s="11"/>
      <c r="E26" s="11"/>
      <c r="F26" s="11"/>
      <c r="G26" s="11"/>
    </row>
    <row r="27" spans="1:7" ht="15.75" x14ac:dyDescent="0.25">
      <c r="A27" s="11"/>
      <c r="B27" s="11"/>
      <c r="C27" s="11"/>
      <c r="D27" s="11"/>
      <c r="E27" s="11"/>
      <c r="F27" s="11"/>
      <c r="G27" s="11"/>
    </row>
    <row r="29" spans="1:7" ht="18.75" x14ac:dyDescent="0.3">
      <c r="A29" s="56" t="s">
        <v>76</v>
      </c>
      <c r="B29" s="56"/>
      <c r="C29" s="56"/>
      <c r="D29" s="56"/>
      <c r="E29" s="56"/>
      <c r="F29" s="56"/>
      <c r="G29" s="56"/>
    </row>
    <row r="30" spans="1:7" x14ac:dyDescent="0.25">
      <c r="A30" s="53" t="s">
        <v>50</v>
      </c>
      <c r="B30" s="53"/>
      <c r="C30" s="53"/>
      <c r="D30" s="53"/>
      <c r="E30" s="53"/>
      <c r="F30" s="53"/>
      <c r="G30" s="53"/>
    </row>
    <row r="31" spans="1:7" ht="15.75" thickBot="1" x14ac:dyDescent="0.3">
      <c r="A31" s="53" t="s">
        <v>286</v>
      </c>
      <c r="B31" s="53"/>
      <c r="C31" s="53"/>
      <c r="D31" s="53"/>
      <c r="E31" s="53"/>
      <c r="F31" s="53"/>
      <c r="G31" s="53"/>
    </row>
    <row r="32" spans="1:7" ht="19.5" thickTop="1" x14ac:dyDescent="0.3">
      <c r="A32" s="54" t="s">
        <v>0</v>
      </c>
      <c r="B32" s="54"/>
      <c r="C32" s="54"/>
      <c r="D32" s="54"/>
      <c r="E32" s="54"/>
      <c r="F32" s="54"/>
      <c r="G32" s="54"/>
    </row>
    <row r="33" spans="1:7" ht="15.75" x14ac:dyDescent="0.25">
      <c r="A33" s="55" t="str">
        <f>A5</f>
        <v>NO : 367/1026</v>
      </c>
      <c r="B33" s="55"/>
      <c r="C33" s="55"/>
      <c r="D33" s="55"/>
      <c r="E33" s="55"/>
      <c r="F33" s="55"/>
      <c r="G33" s="55"/>
    </row>
    <row r="34" spans="1:7" ht="15.75" x14ac:dyDescent="0.25">
      <c r="A34" s="11"/>
      <c r="B34" s="11"/>
      <c r="C34" s="11"/>
      <c r="D34" s="11"/>
      <c r="E34" s="11"/>
      <c r="F34" s="11"/>
      <c r="G34" s="11"/>
    </row>
    <row r="35" spans="1:7" ht="15.75" x14ac:dyDescent="0.25">
      <c r="A35" s="11" t="s">
        <v>1</v>
      </c>
      <c r="B35" s="12"/>
      <c r="C35" s="11" t="s">
        <v>195</v>
      </c>
      <c r="D35" s="11" t="s">
        <v>210</v>
      </c>
      <c r="E35" s="11"/>
      <c r="F35" s="11"/>
      <c r="G35" s="13">
        <f ca="1">TODAY()</f>
        <v>46301</v>
      </c>
    </row>
    <row r="36" spans="1:7" ht="15.75" x14ac:dyDescent="0.25">
      <c r="A36" s="11" t="s">
        <v>2</v>
      </c>
      <c r="B36" s="11"/>
      <c r="C36" s="11" t="str">
        <f>C35</f>
        <v>: Ny.</v>
      </c>
      <c r="D36" s="11" t="str">
        <f>D35</f>
        <v>Sinta Yunita</v>
      </c>
      <c r="E36" s="11"/>
      <c r="F36" s="11"/>
      <c r="G36" s="11"/>
    </row>
    <row r="37" spans="1:7" ht="15.75" x14ac:dyDescent="0.25">
      <c r="A37" s="11" t="s">
        <v>3</v>
      </c>
      <c r="B37" s="11"/>
      <c r="C37" s="11" t="s">
        <v>15</v>
      </c>
      <c r="D37" s="11" t="s">
        <v>215</v>
      </c>
      <c r="E37" s="11"/>
      <c r="F37" s="11"/>
      <c r="G37" s="11"/>
    </row>
    <row r="38" spans="1:7" ht="15.75" x14ac:dyDescent="0.25">
      <c r="A38" s="11" t="s">
        <v>14</v>
      </c>
      <c r="B38" s="11"/>
      <c r="C38" s="11"/>
      <c r="D38" s="11"/>
      <c r="E38" s="11"/>
      <c r="F38" s="11"/>
      <c r="G38" s="11"/>
    </row>
    <row r="39" spans="1:7" x14ac:dyDescent="0.25">
      <c r="A39" s="17" t="s">
        <v>5</v>
      </c>
      <c r="B39" s="17" t="s">
        <v>6</v>
      </c>
      <c r="C39" s="17"/>
      <c r="D39" s="17"/>
      <c r="E39" s="17"/>
      <c r="F39" s="17"/>
      <c r="G39" s="1">
        <f>VLOOKUP(B39,HARGA!$B$3:$C$192,2,FALSE)</f>
        <v>120000</v>
      </c>
    </row>
    <row r="40" spans="1:7" x14ac:dyDescent="0.25">
      <c r="A40" s="17"/>
      <c r="B40" s="17" t="s">
        <v>7</v>
      </c>
      <c r="C40" s="17"/>
      <c r="D40" s="17"/>
      <c r="E40" s="17"/>
      <c r="F40" s="17"/>
      <c r="G40" s="1">
        <f>VLOOKUP(B40,HARGA!$B$3:$C$192,2,FALSE)</f>
        <v>80000</v>
      </c>
    </row>
    <row r="41" spans="1:7" x14ac:dyDescent="0.25">
      <c r="A41" s="17"/>
      <c r="B41" s="17" t="s">
        <v>211</v>
      </c>
      <c r="C41" s="17"/>
      <c r="D41" s="17"/>
      <c r="E41" s="17"/>
      <c r="F41" s="17" t="s">
        <v>213</v>
      </c>
      <c r="G41" s="1">
        <v>140000</v>
      </c>
    </row>
    <row r="42" spans="1:7" x14ac:dyDescent="0.25">
      <c r="A42" s="17"/>
      <c r="B42" s="17" t="s">
        <v>212</v>
      </c>
      <c r="C42" s="17"/>
      <c r="D42" s="17"/>
      <c r="E42" s="17"/>
      <c r="F42" s="17"/>
      <c r="G42" s="1">
        <v>160000</v>
      </c>
    </row>
    <row r="43" spans="1:7" ht="15.75" x14ac:dyDescent="0.25">
      <c r="A43" s="11"/>
      <c r="B43" s="11"/>
      <c r="C43" s="11"/>
      <c r="D43" s="11"/>
      <c r="E43" s="11"/>
      <c r="F43" s="11"/>
      <c r="G43" s="15"/>
    </row>
    <row r="44" spans="1:7" ht="15.75" x14ac:dyDescent="0.25">
      <c r="A44" s="11" t="s">
        <v>9</v>
      </c>
      <c r="B44" s="11"/>
      <c r="C44" s="11"/>
      <c r="D44" s="11"/>
      <c r="E44" s="11"/>
      <c r="F44" s="11"/>
      <c r="G44" s="15">
        <f>SUM(G39:G42)</f>
        <v>500000</v>
      </c>
    </row>
    <row r="45" spans="1:7" ht="15.75" x14ac:dyDescent="0.25">
      <c r="A45" s="11"/>
      <c r="B45" s="11"/>
      <c r="C45" s="11"/>
      <c r="D45" s="11"/>
      <c r="E45" s="11"/>
      <c r="F45" s="11"/>
      <c r="G45" s="15"/>
    </row>
    <row r="46" spans="1:7" ht="15.75" x14ac:dyDescent="0.25">
      <c r="A46" s="11"/>
      <c r="B46" s="11"/>
      <c r="C46" s="11"/>
      <c r="D46" s="11"/>
      <c r="E46" s="11"/>
      <c r="F46" s="11"/>
      <c r="G46" s="14"/>
    </row>
    <row r="47" spans="1:7" ht="15.75" x14ac:dyDescent="0.25">
      <c r="A47" s="11" t="s">
        <v>12</v>
      </c>
      <c r="B47" s="11"/>
      <c r="C47" s="11" t="s">
        <v>11</v>
      </c>
      <c r="D47" s="11" t="s">
        <v>53</v>
      </c>
      <c r="E47" s="11"/>
      <c r="F47" s="11"/>
      <c r="G47" s="11"/>
    </row>
    <row r="48" spans="1:7" ht="15.75" x14ac:dyDescent="0.25">
      <c r="A48" s="11" t="s">
        <v>10</v>
      </c>
      <c r="B48" s="11"/>
      <c r="C48" s="16" t="s">
        <v>13</v>
      </c>
      <c r="D48" s="16" t="s">
        <v>214</v>
      </c>
      <c r="E48" s="11"/>
      <c r="F48" s="11"/>
      <c r="G48" s="11"/>
    </row>
    <row r="49" spans="1:7" ht="15.75" x14ac:dyDescent="0.25">
      <c r="A49" s="11"/>
      <c r="B49" s="11"/>
      <c r="C49" s="11"/>
      <c r="D49" s="11"/>
      <c r="E49" s="11"/>
      <c r="F49" s="11"/>
      <c r="G49" s="11"/>
    </row>
    <row r="50" spans="1:7" ht="15.75" x14ac:dyDescent="0.25">
      <c r="A50" s="11"/>
      <c r="B50" s="11"/>
      <c r="C50" s="11"/>
      <c r="D50" s="11"/>
      <c r="E50" s="11"/>
      <c r="F50" s="11"/>
      <c r="G50" s="11" t="s">
        <v>16</v>
      </c>
    </row>
    <row r="51" spans="1:7" ht="17.25" customHeight="1" x14ac:dyDescent="0.25">
      <c r="A51" s="11"/>
      <c r="B51" s="11"/>
      <c r="C51" s="11"/>
      <c r="D51" s="11"/>
      <c r="E51" s="11"/>
      <c r="F51" s="11"/>
      <c r="G51" s="11"/>
    </row>
    <row r="52" spans="1:7" ht="15.75" x14ac:dyDescent="0.25">
      <c r="A52" s="11"/>
      <c r="B52" s="11"/>
      <c r="C52" s="11"/>
      <c r="D52" s="11"/>
      <c r="E52" s="11"/>
      <c r="F52" s="11"/>
      <c r="G52" s="11"/>
    </row>
    <row r="53" spans="1:7" ht="15.75" x14ac:dyDescent="0.25">
      <c r="A53" s="11"/>
      <c r="B53" s="11"/>
      <c r="C53" s="11"/>
      <c r="D53" s="11"/>
      <c r="E53" s="11"/>
      <c r="F53" s="11"/>
      <c r="G53" s="11" t="s">
        <v>17</v>
      </c>
    </row>
    <row r="54" spans="1:7" ht="15.75" x14ac:dyDescent="0.25">
      <c r="A54" s="11"/>
      <c r="B54" s="11"/>
      <c r="C54" s="11"/>
      <c r="D54" s="11"/>
      <c r="E54" s="11"/>
      <c r="F54" s="11"/>
      <c r="G54" s="11"/>
    </row>
    <row r="55" spans="1:7" ht="15.75" x14ac:dyDescent="0.25">
      <c r="A55" s="11"/>
      <c r="B55" s="11"/>
      <c r="C55" s="11"/>
      <c r="D55" s="11"/>
      <c r="E55" s="11"/>
      <c r="F55" s="11"/>
      <c r="G55" s="11"/>
    </row>
    <row r="56" spans="1:7" ht="15.75" x14ac:dyDescent="0.25">
      <c r="A56" s="11"/>
      <c r="B56" s="11"/>
      <c r="C56" s="11"/>
      <c r="D56" s="11"/>
      <c r="E56" s="11"/>
      <c r="F56" s="11"/>
      <c r="G56" s="11"/>
    </row>
  </sheetData>
  <mergeCells count="10">
    <mergeCell ref="A30:G30"/>
    <mergeCell ref="A31:G31"/>
    <mergeCell ref="A32:G32"/>
    <mergeCell ref="A33:G33"/>
    <mergeCell ref="A1:G1"/>
    <mergeCell ref="A2:G2"/>
    <mergeCell ref="A3:G3"/>
    <mergeCell ref="A4:G4"/>
    <mergeCell ref="A5:G5"/>
    <mergeCell ref="A29:G29"/>
  </mergeCells>
  <pageMargins left="0.23622047244094491" right="0.23622047244094491" top="0.35433070866141736" bottom="0" header="0.31496062992125984" footer="0.31496062992125984"/>
  <pageSetup paperSize="9" orientation="portrait" horizontalDpi="18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B8978-CCFD-4F02-A1DF-3FFDDD1D3F1C}">
  <dimension ref="A1:J54"/>
  <sheetViews>
    <sheetView topLeftCell="A16" workbookViewId="0">
      <selection activeCell="A29" sqref="A29:G29"/>
    </sheetView>
  </sheetViews>
  <sheetFormatPr defaultRowHeight="15" x14ac:dyDescent="0.25"/>
  <cols>
    <col min="3" max="3" width="5.85546875" customWidth="1"/>
    <col min="4" max="4" width="12.42578125" customWidth="1"/>
    <col min="6" max="6" width="31.5703125" customWidth="1"/>
    <col min="7" max="7" width="22.5703125" customWidth="1"/>
    <col min="10" max="10" width="14" bestFit="1" customWidth="1"/>
  </cols>
  <sheetData>
    <row r="1" spans="1:10" ht="18.75" x14ac:dyDescent="0.3">
      <c r="A1" s="56" t="s">
        <v>76</v>
      </c>
      <c r="B1" s="56"/>
      <c r="C1" s="56"/>
      <c r="D1" s="56"/>
      <c r="E1" s="56"/>
      <c r="F1" s="56"/>
      <c r="G1" s="56"/>
    </row>
    <row r="2" spans="1:10" ht="12.75" customHeight="1" x14ac:dyDescent="0.25">
      <c r="A2" s="53" t="s">
        <v>50</v>
      </c>
      <c r="B2" s="53"/>
      <c r="C2" s="53"/>
      <c r="D2" s="53"/>
      <c r="E2" s="53"/>
      <c r="F2" s="53"/>
      <c r="G2" s="53"/>
    </row>
    <row r="3" spans="1:10" ht="12" customHeight="1" thickBot="1" x14ac:dyDescent="0.3">
      <c r="A3" s="53" t="s">
        <v>286</v>
      </c>
      <c r="B3" s="53"/>
      <c r="C3" s="53"/>
      <c r="D3" s="53"/>
      <c r="E3" s="53"/>
      <c r="F3" s="53"/>
      <c r="G3" s="53"/>
    </row>
    <row r="4" spans="1:10" ht="19.5" thickTop="1" x14ac:dyDescent="0.3">
      <c r="A4" s="54" t="s">
        <v>0</v>
      </c>
      <c r="B4" s="54"/>
      <c r="C4" s="54"/>
      <c r="D4" s="54"/>
      <c r="E4" s="54"/>
      <c r="F4" s="54"/>
      <c r="G4" s="54"/>
    </row>
    <row r="5" spans="1:10" ht="15.75" x14ac:dyDescent="0.25">
      <c r="A5" s="55" t="str">
        <f>'KWITANSI FULL '!A6:G6</f>
        <v>NO : 367/1026</v>
      </c>
      <c r="B5" s="55"/>
      <c r="C5" s="55"/>
      <c r="D5" s="55"/>
      <c r="E5" s="55"/>
      <c r="F5" s="55"/>
      <c r="G5" s="55"/>
    </row>
    <row r="6" spans="1:10" ht="4.5" customHeight="1" x14ac:dyDescent="0.25">
      <c r="A6" s="11"/>
      <c r="B6" s="11"/>
      <c r="C6" s="11"/>
      <c r="D6" s="11"/>
      <c r="E6" s="11"/>
      <c r="F6" s="11"/>
      <c r="G6" s="11"/>
    </row>
    <row r="7" spans="1:10" ht="15.75" x14ac:dyDescent="0.25">
      <c r="A7" s="11" t="s">
        <v>1</v>
      </c>
      <c r="B7" s="12"/>
      <c r="C7" s="11" t="s">
        <v>195</v>
      </c>
      <c r="D7" s="11" t="str">
        <f>'KWITANSI FULL '!D7</f>
        <v>Yayuk Novita Dewi</v>
      </c>
      <c r="E7" s="11"/>
      <c r="F7" s="11"/>
      <c r="G7" s="13">
        <f ca="1">TODAY()</f>
        <v>46301</v>
      </c>
    </row>
    <row r="8" spans="1:10" ht="15.75" x14ac:dyDescent="0.25">
      <c r="A8" s="11" t="s">
        <v>2</v>
      </c>
      <c r="B8" s="11"/>
      <c r="C8" s="11" t="s">
        <v>195</v>
      </c>
      <c r="D8" s="11" t="str">
        <f>D7</f>
        <v>Yayuk Novita Dewi</v>
      </c>
      <c r="E8" s="11"/>
      <c r="F8" s="11"/>
      <c r="G8" s="11"/>
    </row>
    <row r="9" spans="1:10" ht="15.75" x14ac:dyDescent="0.25">
      <c r="A9" s="11" t="s">
        <v>3</v>
      </c>
      <c r="B9" s="11"/>
      <c r="C9" s="11" t="s">
        <v>196</v>
      </c>
      <c r="D9" s="11" t="s">
        <v>197</v>
      </c>
      <c r="E9" s="11"/>
      <c r="F9" s="11"/>
      <c r="G9" s="11"/>
    </row>
    <row r="10" spans="1:10" ht="15.75" x14ac:dyDescent="0.25">
      <c r="A10" s="11" t="s">
        <v>14</v>
      </c>
      <c r="B10" s="11"/>
      <c r="C10" s="11"/>
      <c r="D10" s="11"/>
      <c r="E10" s="11"/>
      <c r="F10" s="11"/>
      <c r="G10" s="11"/>
    </row>
    <row r="11" spans="1:10" ht="15.75" x14ac:dyDescent="0.25">
      <c r="A11" s="11"/>
      <c r="B11" s="11"/>
      <c r="C11" s="11"/>
      <c r="D11" s="11"/>
      <c r="E11" s="11"/>
      <c r="F11" s="11"/>
      <c r="G11" s="11"/>
      <c r="H11" t="s">
        <v>203</v>
      </c>
    </row>
    <row r="12" spans="1:10" x14ac:dyDescent="0.25">
      <c r="A12" s="37" t="s">
        <v>88</v>
      </c>
      <c r="B12" s="17" t="s">
        <v>47</v>
      </c>
      <c r="C12" s="17"/>
      <c r="D12" s="17"/>
      <c r="E12" s="17">
        <v>2</v>
      </c>
      <c r="F12" s="17" t="s">
        <v>73</v>
      </c>
      <c r="G12" s="1">
        <f>VLOOKUP(B12,HARGA!$B$3:$D$181,3,FALSE)*E12</f>
        <v>74000</v>
      </c>
    </row>
    <row r="13" spans="1:10" x14ac:dyDescent="0.25">
      <c r="A13" s="37"/>
      <c r="B13" s="17" t="s">
        <v>26</v>
      </c>
      <c r="C13" s="17"/>
      <c r="D13" s="17"/>
      <c r="E13" s="17">
        <v>8</v>
      </c>
      <c r="F13" s="17" t="s">
        <v>73</v>
      </c>
      <c r="G13" s="1">
        <f>VLOOKUP(B13,HARGA!$B$3:$D$181,3,FALSE)*E13</f>
        <v>8000</v>
      </c>
    </row>
    <row r="14" spans="1:10" x14ac:dyDescent="0.25">
      <c r="A14" s="17"/>
      <c r="B14" s="17"/>
      <c r="C14" s="17"/>
      <c r="D14" s="17"/>
      <c r="E14" s="17"/>
      <c r="F14" s="17"/>
      <c r="G14" s="1"/>
    </row>
    <row r="15" spans="1:10" ht="15.75" x14ac:dyDescent="0.25">
      <c r="A15" s="11" t="s">
        <v>9</v>
      </c>
      <c r="B15" s="11"/>
      <c r="C15" s="11"/>
      <c r="D15" s="11"/>
      <c r="E15" s="11"/>
      <c r="F15" s="11"/>
      <c r="G15" s="15">
        <f>SUM(G12:G14)</f>
        <v>82000</v>
      </c>
      <c r="J15" s="44"/>
    </row>
    <row r="16" spans="1:10" ht="15.75" x14ac:dyDescent="0.25">
      <c r="A16" s="11"/>
      <c r="B16" s="11"/>
      <c r="C16" s="11"/>
      <c r="D16" s="11"/>
      <c r="E16" s="11"/>
      <c r="F16" s="11"/>
      <c r="G16" s="14"/>
    </row>
    <row r="17" spans="1:7" ht="15.75" x14ac:dyDescent="0.25">
      <c r="A17" s="11" t="s">
        <v>12</v>
      </c>
      <c r="B17" s="11"/>
      <c r="C17" s="11" t="s">
        <v>11</v>
      </c>
      <c r="D17" s="11"/>
      <c r="E17" s="11"/>
      <c r="F17" s="11"/>
      <c r="G17" s="11"/>
    </row>
    <row r="18" spans="1:7" ht="15.75" x14ac:dyDescent="0.25">
      <c r="A18" s="11" t="s">
        <v>10</v>
      </c>
      <c r="B18" s="11"/>
      <c r="C18" s="16" t="s">
        <v>13</v>
      </c>
      <c r="D18" s="16" t="str">
        <f>PROPER([1]!terbilang(G15))&amp;"Rupiah"</f>
        <v>Delapanpuluh Dua Ribu Rupiah</v>
      </c>
      <c r="E18" s="11"/>
      <c r="F18" s="11"/>
      <c r="G18" s="11"/>
    </row>
    <row r="19" spans="1:7" ht="8.25" customHeight="1" x14ac:dyDescent="0.25">
      <c r="A19" s="11"/>
      <c r="B19" s="11"/>
      <c r="C19" s="11"/>
      <c r="D19" s="11"/>
      <c r="E19" s="11"/>
      <c r="F19" s="11"/>
      <c r="G19" s="11"/>
    </row>
    <row r="20" spans="1:7" ht="15.75" x14ac:dyDescent="0.25">
      <c r="A20" s="11"/>
      <c r="B20" s="11"/>
      <c r="C20" s="11"/>
      <c r="D20" s="11"/>
      <c r="E20" s="11"/>
      <c r="F20" s="11"/>
      <c r="G20" s="11" t="s">
        <v>16</v>
      </c>
    </row>
    <row r="21" spans="1:7" ht="15.75" x14ac:dyDescent="0.25">
      <c r="A21" s="11"/>
      <c r="B21" s="11"/>
      <c r="C21" s="11"/>
      <c r="D21" s="11"/>
      <c r="E21" s="11"/>
      <c r="F21" s="11"/>
      <c r="G21" s="11"/>
    </row>
    <row r="22" spans="1:7" ht="15.75" x14ac:dyDescent="0.25">
      <c r="A22" s="11"/>
      <c r="B22" s="11"/>
      <c r="C22" s="11"/>
      <c r="D22" s="11"/>
      <c r="E22" s="11"/>
      <c r="F22" s="11"/>
      <c r="G22" s="11"/>
    </row>
    <row r="23" spans="1:7" ht="15.75" x14ac:dyDescent="0.25">
      <c r="A23" s="11"/>
      <c r="B23" s="11"/>
      <c r="C23" s="11"/>
      <c r="D23" s="11"/>
      <c r="E23" s="11"/>
      <c r="F23" s="11"/>
      <c r="G23" s="11" t="s">
        <v>17</v>
      </c>
    </row>
    <row r="24" spans="1:7" ht="15.75" x14ac:dyDescent="0.25">
      <c r="A24" s="11"/>
      <c r="B24" s="11"/>
      <c r="C24" s="11"/>
      <c r="D24" s="11"/>
      <c r="E24" s="11"/>
      <c r="F24" s="11"/>
      <c r="G24" s="11"/>
    </row>
    <row r="25" spans="1:7" ht="15.75" x14ac:dyDescent="0.25">
      <c r="A25" s="11"/>
      <c r="B25" s="11"/>
      <c r="C25" s="11"/>
      <c r="D25" s="11"/>
      <c r="E25" s="11"/>
      <c r="F25" s="11"/>
      <c r="G25" s="11"/>
    </row>
    <row r="27" spans="1:7" ht="18.75" x14ac:dyDescent="0.3">
      <c r="A27" s="56" t="str">
        <f>A1</f>
        <v>AL-QOYYUM ROYAL CLINIC</v>
      </c>
      <c r="B27" s="56"/>
      <c r="C27" s="56"/>
      <c r="D27" s="56"/>
      <c r="E27" s="56"/>
      <c r="F27" s="56"/>
      <c r="G27" s="56"/>
    </row>
    <row r="28" spans="1:7" x14ac:dyDescent="0.25">
      <c r="A28" s="53" t="s">
        <v>50</v>
      </c>
      <c r="B28" s="53"/>
      <c r="C28" s="53"/>
      <c r="D28" s="53"/>
      <c r="E28" s="53"/>
      <c r="F28" s="53"/>
      <c r="G28" s="53"/>
    </row>
    <row r="29" spans="1:7" ht="15.75" thickBot="1" x14ac:dyDescent="0.3">
      <c r="A29" s="53" t="s">
        <v>286</v>
      </c>
      <c r="B29" s="53"/>
      <c r="C29" s="53"/>
      <c r="D29" s="53"/>
      <c r="E29" s="53"/>
      <c r="F29" s="53"/>
      <c r="G29" s="53"/>
    </row>
    <row r="30" spans="1:7" ht="19.5" thickTop="1" x14ac:dyDescent="0.3">
      <c r="A30" s="54" t="s">
        <v>0</v>
      </c>
      <c r="B30" s="54"/>
      <c r="C30" s="54"/>
      <c r="D30" s="54"/>
      <c r="E30" s="54"/>
      <c r="F30" s="54"/>
      <c r="G30" s="54"/>
    </row>
    <row r="31" spans="1:7" ht="15.75" x14ac:dyDescent="0.25">
      <c r="A31" s="55" t="str">
        <f>A5</f>
        <v>NO : 367/1026</v>
      </c>
      <c r="B31" s="55"/>
      <c r="C31" s="55"/>
      <c r="D31" s="55"/>
      <c r="E31" s="55"/>
      <c r="F31" s="55"/>
      <c r="G31" s="55"/>
    </row>
    <row r="32" spans="1:7" ht="15.75" x14ac:dyDescent="0.25">
      <c r="A32" s="11"/>
      <c r="B32" s="11"/>
      <c r="C32" s="11"/>
      <c r="D32" s="11"/>
      <c r="E32" s="11"/>
      <c r="F32" s="11"/>
      <c r="G32" s="11"/>
    </row>
    <row r="33" spans="1:7" ht="15.75" x14ac:dyDescent="0.25">
      <c r="A33" s="11" t="s">
        <v>1</v>
      </c>
      <c r="B33" s="12"/>
      <c r="C33" s="11" t="s">
        <v>195</v>
      </c>
      <c r="D33" s="11" t="s">
        <v>273</v>
      </c>
      <c r="E33" s="11"/>
      <c r="F33" s="11"/>
      <c r="G33" s="13">
        <f ca="1">TODAY()</f>
        <v>46301</v>
      </c>
    </row>
    <row r="34" spans="1:7" ht="15.75" x14ac:dyDescent="0.25">
      <c r="A34" s="11" t="s">
        <v>2</v>
      </c>
      <c r="B34" s="11"/>
      <c r="C34" s="11" t="s">
        <v>195</v>
      </c>
      <c r="D34" s="11" t="str">
        <f>D33</f>
        <v>Widya Ningsih Sudarman</v>
      </c>
      <c r="E34" s="11"/>
      <c r="F34" s="11"/>
      <c r="G34" s="11"/>
    </row>
    <row r="35" spans="1:7" ht="15.75" x14ac:dyDescent="0.25">
      <c r="A35" s="11" t="s">
        <v>3</v>
      </c>
      <c r="B35" s="11"/>
      <c r="C35" s="11" t="s">
        <v>196</v>
      </c>
      <c r="D35" s="11" t="s">
        <v>197</v>
      </c>
      <c r="E35" s="11"/>
      <c r="F35" s="11"/>
      <c r="G35" s="11"/>
    </row>
    <row r="36" spans="1:7" ht="15.75" x14ac:dyDescent="0.25">
      <c r="A36" s="11" t="s">
        <v>14</v>
      </c>
      <c r="B36" s="11"/>
      <c r="C36" s="11"/>
      <c r="D36" s="11"/>
      <c r="E36" s="11"/>
      <c r="F36" s="11"/>
      <c r="G36" s="11"/>
    </row>
    <row r="37" spans="1:7" x14ac:dyDescent="0.25">
      <c r="A37" s="17" t="s">
        <v>5</v>
      </c>
      <c r="B37" s="17" t="s">
        <v>6</v>
      </c>
      <c r="C37" s="17"/>
      <c r="D37" s="17"/>
      <c r="E37" s="17"/>
      <c r="F37" s="17"/>
      <c r="G37" s="1">
        <f>VLOOKUP(B37,HARGA!$B$3:$D$181,3,FALSE)</f>
        <v>120000</v>
      </c>
    </row>
    <row r="38" spans="1:7" x14ac:dyDescent="0.25">
      <c r="A38" s="17"/>
      <c r="B38" s="17" t="s">
        <v>7</v>
      </c>
      <c r="C38" s="17"/>
      <c r="D38" s="17"/>
      <c r="E38" s="17"/>
      <c r="F38" s="17"/>
      <c r="G38" s="1">
        <f>VLOOKUP(B38,HARGA!$B$3:$D$181,3,FALSE)</f>
        <v>80000</v>
      </c>
    </row>
    <row r="39" spans="1:7" x14ac:dyDescent="0.25">
      <c r="A39" s="17"/>
      <c r="B39" s="17" t="s">
        <v>98</v>
      </c>
      <c r="C39" s="17"/>
      <c r="D39" s="17"/>
      <c r="E39" s="17"/>
      <c r="F39" s="17"/>
      <c r="G39" s="1">
        <f>VLOOKUP(B39,HARGA!$B$3:$D$181,3,FALSE)</f>
        <v>450000</v>
      </c>
    </row>
    <row r="40" spans="1:7" x14ac:dyDescent="0.25">
      <c r="A40" s="17" t="s">
        <v>4</v>
      </c>
      <c r="B40" s="17" t="s">
        <v>95</v>
      </c>
      <c r="C40" s="17"/>
      <c r="D40" s="17"/>
      <c r="E40" s="18">
        <v>6</v>
      </c>
      <c r="F40" s="17" t="s">
        <v>252</v>
      </c>
      <c r="G40" s="1">
        <f>VLOOKUP(B40,HARGA!$B$3:$D$181,3,FALSE)*E40</f>
        <v>42000</v>
      </c>
    </row>
    <row r="41" spans="1:7" x14ac:dyDescent="0.25">
      <c r="A41" s="17"/>
      <c r="B41" s="17" t="s">
        <v>108</v>
      </c>
      <c r="C41" s="17"/>
      <c r="D41" s="17"/>
      <c r="E41" s="18">
        <v>1</v>
      </c>
      <c r="F41" s="17" t="s">
        <v>252</v>
      </c>
      <c r="G41" s="1">
        <f>VLOOKUP(B41,HARGA!$B$3:$D$181,3,FALSE)*E41</f>
        <v>10000</v>
      </c>
    </row>
    <row r="42" spans="1:7" x14ac:dyDescent="0.25">
      <c r="A42" s="17"/>
      <c r="B42" s="17" t="s">
        <v>41</v>
      </c>
      <c r="C42" s="17"/>
      <c r="D42" s="17"/>
      <c r="E42" s="18">
        <v>1</v>
      </c>
      <c r="F42" s="17" t="s">
        <v>252</v>
      </c>
      <c r="G42" s="1">
        <f>VLOOKUP(B42,HARGA!$B$3:$D$181,3,FALSE)*E42</f>
        <v>650000</v>
      </c>
    </row>
    <row r="43" spans="1:7" x14ac:dyDescent="0.25">
      <c r="A43" s="17"/>
      <c r="B43" s="17" t="s">
        <v>93</v>
      </c>
      <c r="C43" s="17"/>
      <c r="D43" s="17"/>
      <c r="E43" s="18">
        <v>1</v>
      </c>
      <c r="F43" s="17" t="s">
        <v>252</v>
      </c>
      <c r="G43" s="1">
        <f>VLOOKUP(B43,HARGA!$B$3:$D$181,3,FALSE)*E43</f>
        <v>10000</v>
      </c>
    </row>
    <row r="44" spans="1:7" x14ac:dyDescent="0.25">
      <c r="A44" s="17"/>
      <c r="B44" s="17"/>
      <c r="C44" s="17"/>
      <c r="D44" s="17"/>
      <c r="E44" s="18"/>
      <c r="F44" s="17"/>
      <c r="G44" s="21"/>
    </row>
    <row r="45" spans="1:7" ht="15.75" x14ac:dyDescent="0.25">
      <c r="A45" s="11" t="s">
        <v>9</v>
      </c>
      <c r="B45" s="11"/>
      <c r="C45" s="11"/>
      <c r="D45" s="11"/>
      <c r="E45" s="11"/>
      <c r="F45" s="11"/>
      <c r="G45" s="15">
        <f>SUM(G37:G44)</f>
        <v>1362000</v>
      </c>
    </row>
    <row r="46" spans="1:7" ht="15.75" x14ac:dyDescent="0.25">
      <c r="A46" s="11"/>
      <c r="B46" s="11"/>
      <c r="C46" s="11"/>
      <c r="D46" s="11"/>
      <c r="E46" s="11"/>
      <c r="F46" s="11"/>
      <c r="G46" s="14"/>
    </row>
    <row r="47" spans="1:7" ht="15.75" x14ac:dyDescent="0.25">
      <c r="A47" s="11" t="s">
        <v>12</v>
      </c>
      <c r="B47" s="11"/>
      <c r="C47" s="11" t="s">
        <v>11</v>
      </c>
      <c r="D47" s="11" t="s">
        <v>53</v>
      </c>
      <c r="E47" s="11"/>
      <c r="F47" s="11"/>
      <c r="G47" s="11"/>
    </row>
    <row r="48" spans="1:7" ht="15.75" x14ac:dyDescent="0.25">
      <c r="A48" s="11" t="s">
        <v>10</v>
      </c>
      <c r="B48" s="11"/>
      <c r="C48" s="16" t="s">
        <v>13</v>
      </c>
      <c r="D48" s="16" t="str">
        <f>PROPER([1]!terbilang(G45))&amp;"Rupiah"</f>
        <v>Satu Juta Tigaratus Enampuluh Dua Ribu Rupiah</v>
      </c>
      <c r="E48" s="11"/>
      <c r="F48" s="11"/>
      <c r="G48" s="11"/>
    </row>
    <row r="49" spans="1:7" ht="17.25" customHeight="1" x14ac:dyDescent="0.25">
      <c r="A49" s="11"/>
      <c r="B49" s="11"/>
      <c r="C49" s="11"/>
      <c r="D49" s="11"/>
      <c r="E49" s="11"/>
      <c r="F49" s="11"/>
      <c r="G49" s="11"/>
    </row>
    <row r="50" spans="1:7" ht="15.75" x14ac:dyDescent="0.25">
      <c r="A50" s="11"/>
      <c r="B50" s="11"/>
      <c r="C50" s="11"/>
      <c r="D50" s="11"/>
      <c r="E50" s="11"/>
      <c r="F50" s="11"/>
      <c r="G50" s="11" t="s">
        <v>16</v>
      </c>
    </row>
    <row r="51" spans="1:7" ht="15.75" x14ac:dyDescent="0.25">
      <c r="A51" s="11"/>
      <c r="B51" s="11"/>
      <c r="C51" s="11"/>
      <c r="D51" s="11"/>
      <c r="E51" s="11"/>
      <c r="F51" s="11"/>
      <c r="G51" s="11"/>
    </row>
    <row r="52" spans="1:7" ht="15.75" x14ac:dyDescent="0.25">
      <c r="A52" s="11"/>
      <c r="B52" s="11"/>
      <c r="C52" s="11"/>
      <c r="D52" s="11"/>
      <c r="E52" s="11"/>
      <c r="F52" s="11"/>
      <c r="G52" s="11"/>
    </row>
    <row r="53" spans="1:7" ht="15.75" x14ac:dyDescent="0.25">
      <c r="A53" s="11"/>
      <c r="B53" s="11"/>
      <c r="C53" s="11"/>
      <c r="D53" s="11"/>
      <c r="E53" s="11"/>
      <c r="F53" s="11"/>
      <c r="G53" s="11" t="s">
        <v>17</v>
      </c>
    </row>
    <row r="54" spans="1:7" ht="15.75" x14ac:dyDescent="0.25">
      <c r="A54" s="11"/>
      <c r="B54" s="11"/>
      <c r="C54" s="11"/>
      <c r="D54" s="11"/>
      <c r="E54" s="11"/>
      <c r="F54" s="11"/>
      <c r="G54" s="11"/>
    </row>
  </sheetData>
  <mergeCells count="10">
    <mergeCell ref="A28:G28"/>
    <mergeCell ref="A29:G29"/>
    <mergeCell ref="A30:G30"/>
    <mergeCell ref="A31:G31"/>
    <mergeCell ref="A1:G1"/>
    <mergeCell ref="A2:G2"/>
    <mergeCell ref="A3:G3"/>
    <mergeCell ref="A4:G4"/>
    <mergeCell ref="A5:G5"/>
    <mergeCell ref="A27:G27"/>
  </mergeCells>
  <pageMargins left="0.23622047244094491" right="0.23622047244094491" top="0.35433070866141736" bottom="0.74803149606299213" header="0.31496062992125984" footer="0.31496062992125984"/>
  <pageSetup paperSize="9" orientation="portrait" horizontalDpi="18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55C0-4AB0-4D60-B7E8-0610AC6507DE}">
  <dimension ref="A1:J51"/>
  <sheetViews>
    <sheetView workbookViewId="0">
      <selection activeCell="B12" sqref="B12"/>
    </sheetView>
  </sheetViews>
  <sheetFormatPr defaultRowHeight="15" x14ac:dyDescent="0.25"/>
  <cols>
    <col min="3" max="3" width="5.85546875" customWidth="1"/>
    <col min="4" max="4" width="12.42578125" customWidth="1"/>
    <col min="6" max="6" width="31.5703125" customWidth="1"/>
    <col min="7" max="7" width="22.5703125" customWidth="1"/>
    <col min="10" max="10" width="14" bestFit="1" customWidth="1"/>
  </cols>
  <sheetData>
    <row r="1" spans="1:10" ht="18.75" x14ac:dyDescent="0.3">
      <c r="A1" s="56" t="s">
        <v>76</v>
      </c>
      <c r="B1" s="56"/>
      <c r="C1" s="56"/>
      <c r="D1" s="56"/>
      <c r="E1" s="56"/>
      <c r="F1" s="56"/>
      <c r="G1" s="56"/>
    </row>
    <row r="2" spans="1:10" ht="12.75" customHeight="1" x14ac:dyDescent="0.25">
      <c r="A2" s="53" t="s">
        <v>50</v>
      </c>
      <c r="B2" s="53"/>
      <c r="C2" s="53"/>
      <c r="D2" s="53"/>
      <c r="E2" s="53"/>
      <c r="F2" s="53"/>
      <c r="G2" s="53"/>
    </row>
    <row r="3" spans="1:10" ht="12" customHeight="1" thickBot="1" x14ac:dyDescent="0.3">
      <c r="A3" s="53" t="s">
        <v>286</v>
      </c>
      <c r="B3" s="53"/>
      <c r="C3" s="53"/>
      <c r="D3" s="53"/>
      <c r="E3" s="53"/>
      <c r="F3" s="53"/>
      <c r="G3" s="53"/>
    </row>
    <row r="4" spans="1:10" ht="19.5" thickTop="1" x14ac:dyDescent="0.3">
      <c r="A4" s="54" t="s">
        <v>0</v>
      </c>
      <c r="B4" s="54"/>
      <c r="C4" s="54"/>
      <c r="D4" s="54"/>
      <c r="E4" s="54"/>
      <c r="F4" s="54"/>
      <c r="G4" s="54"/>
    </row>
    <row r="5" spans="1:10" ht="15.75" x14ac:dyDescent="0.25">
      <c r="A5" s="55" t="str">
        <f>'KWITANSI FULL '!A6:G6</f>
        <v>NO : 367/1026</v>
      </c>
      <c r="B5" s="55"/>
      <c r="C5" s="55"/>
      <c r="D5" s="55"/>
      <c r="E5" s="55"/>
      <c r="F5" s="55"/>
      <c r="G5" s="55"/>
    </row>
    <row r="6" spans="1:10" ht="4.5" customHeight="1" x14ac:dyDescent="0.25">
      <c r="A6" s="11"/>
      <c r="B6" s="11"/>
      <c r="C6" s="11"/>
      <c r="D6" s="11"/>
      <c r="E6" s="11"/>
      <c r="F6" s="11"/>
      <c r="G6" s="11"/>
    </row>
    <row r="7" spans="1:10" ht="15.75" x14ac:dyDescent="0.25">
      <c r="A7" s="11" t="s">
        <v>1</v>
      </c>
      <c r="B7" s="12"/>
      <c r="C7" s="11" t="s">
        <v>195</v>
      </c>
      <c r="D7" s="11" t="str">
        <f>'KWITANSI FULL '!D7</f>
        <v>Yayuk Novita Dewi</v>
      </c>
      <c r="E7" s="11"/>
      <c r="F7" s="11"/>
      <c r="G7" s="13">
        <f ca="1">TODAY()</f>
        <v>46301</v>
      </c>
    </row>
    <row r="8" spans="1:10" ht="15.75" x14ac:dyDescent="0.25">
      <c r="A8" s="11" t="s">
        <v>2</v>
      </c>
      <c r="B8" s="11"/>
      <c r="C8" s="11" t="s">
        <v>195</v>
      </c>
      <c r="D8" s="11" t="str">
        <f>D7</f>
        <v>Yayuk Novita Dewi</v>
      </c>
      <c r="E8" s="11"/>
      <c r="F8" s="11"/>
      <c r="G8" s="11"/>
    </row>
    <row r="9" spans="1:10" ht="15.75" x14ac:dyDescent="0.25">
      <c r="A9" s="11" t="s">
        <v>3</v>
      </c>
      <c r="B9" s="11"/>
      <c r="C9" s="11" t="s">
        <v>196</v>
      </c>
      <c r="D9" s="11" t="s">
        <v>197</v>
      </c>
      <c r="E9" s="11"/>
      <c r="F9" s="11"/>
      <c r="G9" s="11"/>
    </row>
    <row r="10" spans="1:10" ht="15.75" x14ac:dyDescent="0.25">
      <c r="A10" s="11" t="s">
        <v>14</v>
      </c>
      <c r="B10" s="11"/>
      <c r="C10" s="11"/>
      <c r="D10" s="11"/>
      <c r="E10" s="11"/>
      <c r="F10" s="11"/>
      <c r="G10" s="11"/>
    </row>
    <row r="11" spans="1:10" ht="15.75" x14ac:dyDescent="0.25">
      <c r="A11" s="11"/>
      <c r="B11" s="11"/>
      <c r="C11" s="11"/>
      <c r="D11" s="11"/>
      <c r="E11" s="11"/>
      <c r="F11" s="11"/>
      <c r="G11" s="11"/>
      <c r="H11" t="s">
        <v>203</v>
      </c>
    </row>
    <row r="12" spans="1:10" x14ac:dyDescent="0.25">
      <c r="A12" s="37" t="s">
        <v>88</v>
      </c>
      <c r="B12" s="17" t="s">
        <v>291</v>
      </c>
      <c r="C12" s="17"/>
      <c r="D12" s="17"/>
      <c r="E12" s="17">
        <v>1</v>
      </c>
      <c r="F12" s="17" t="s">
        <v>73</v>
      </c>
      <c r="G12" s="38" t="e">
        <f>VLOOKUP(B12,HARGA!$B$3:$D$137,3,FALSE)*E12</f>
        <v>#N/A</v>
      </c>
    </row>
    <row r="13" spans="1:10" x14ac:dyDescent="0.25">
      <c r="A13" s="37"/>
      <c r="B13" s="17"/>
      <c r="C13" s="17"/>
      <c r="D13" s="17"/>
      <c r="E13" s="17"/>
      <c r="F13" s="17"/>
      <c r="G13" s="38"/>
    </row>
    <row r="14" spans="1:10" x14ac:dyDescent="0.25">
      <c r="A14" s="17"/>
      <c r="B14" s="17"/>
      <c r="C14" s="17"/>
      <c r="D14" s="17"/>
      <c r="E14" s="17"/>
      <c r="F14" s="17"/>
      <c r="G14" s="1"/>
    </row>
    <row r="15" spans="1:10" ht="15.75" x14ac:dyDescent="0.25">
      <c r="A15" s="11" t="s">
        <v>9</v>
      </c>
      <c r="B15" s="11"/>
      <c r="C15" s="11"/>
      <c r="D15" s="11"/>
      <c r="E15" s="11"/>
      <c r="F15" s="11"/>
      <c r="G15" s="15" t="e">
        <f>SUM(G12:G14)</f>
        <v>#N/A</v>
      </c>
      <c r="J15" s="44"/>
    </row>
    <row r="16" spans="1:10" ht="15.75" x14ac:dyDescent="0.25">
      <c r="A16" s="11"/>
      <c r="B16" s="11"/>
      <c r="C16" s="11"/>
      <c r="D16" s="11"/>
      <c r="E16" s="11"/>
      <c r="F16" s="11"/>
      <c r="G16" s="14"/>
    </row>
    <row r="17" spans="1:7" ht="15.75" x14ac:dyDescent="0.25">
      <c r="A17" s="11" t="s">
        <v>12</v>
      </c>
      <c r="B17" s="11"/>
      <c r="C17" s="11" t="s">
        <v>11</v>
      </c>
      <c r="D17" s="11"/>
      <c r="E17" s="11"/>
      <c r="F17" s="11"/>
      <c r="G17" s="11"/>
    </row>
    <row r="18" spans="1:7" ht="15.75" x14ac:dyDescent="0.25">
      <c r="A18" s="11" t="s">
        <v>10</v>
      </c>
      <c r="B18" s="11"/>
      <c r="C18" s="16" t="s">
        <v>13</v>
      </c>
      <c r="D18" s="16" t="e">
        <f>PROPER([1]!terbilang(G15))&amp;"Rupiah"</f>
        <v>#VALUE!</v>
      </c>
      <c r="E18" s="11"/>
      <c r="F18" s="11"/>
      <c r="G18" s="11"/>
    </row>
    <row r="19" spans="1:7" ht="8.25" customHeight="1" x14ac:dyDescent="0.25">
      <c r="A19" s="11"/>
      <c r="B19" s="11"/>
      <c r="C19" s="11"/>
      <c r="D19" s="11"/>
      <c r="E19" s="11"/>
      <c r="F19" s="11"/>
      <c r="G19" s="11"/>
    </row>
    <row r="20" spans="1:7" ht="15.75" x14ac:dyDescent="0.25">
      <c r="A20" s="11"/>
      <c r="B20" s="11"/>
      <c r="C20" s="11"/>
      <c r="D20" s="11"/>
      <c r="E20" s="11"/>
      <c r="F20" s="11"/>
      <c r="G20" s="11" t="s">
        <v>16</v>
      </c>
    </row>
    <row r="21" spans="1:7" ht="15.75" x14ac:dyDescent="0.25">
      <c r="A21" s="11"/>
      <c r="B21" s="11"/>
      <c r="C21" s="11"/>
      <c r="D21" s="11"/>
      <c r="E21" s="11"/>
      <c r="F21" s="11"/>
      <c r="G21" s="11"/>
    </row>
    <row r="22" spans="1:7" ht="15.75" x14ac:dyDescent="0.25">
      <c r="A22" s="11"/>
      <c r="B22" s="11"/>
      <c r="C22" s="11"/>
      <c r="D22" s="11"/>
      <c r="E22" s="11"/>
      <c r="F22" s="11"/>
      <c r="G22" s="11"/>
    </row>
    <row r="23" spans="1:7" ht="15.75" x14ac:dyDescent="0.25">
      <c r="A23" s="11"/>
      <c r="B23" s="11"/>
      <c r="C23" s="11"/>
      <c r="D23" s="11"/>
      <c r="E23" s="11"/>
      <c r="F23" s="11"/>
      <c r="G23" s="11" t="s">
        <v>17</v>
      </c>
    </row>
    <row r="24" spans="1:7" ht="15.75" x14ac:dyDescent="0.25">
      <c r="A24" s="11"/>
      <c r="B24" s="11"/>
      <c r="C24" s="11"/>
      <c r="D24" s="11"/>
      <c r="E24" s="11"/>
      <c r="F24" s="11"/>
      <c r="G24" s="11"/>
    </row>
    <row r="25" spans="1:7" ht="15.75" x14ac:dyDescent="0.25">
      <c r="A25" s="11"/>
      <c r="B25" s="11"/>
      <c r="C25" s="11"/>
      <c r="D25" s="11"/>
      <c r="E25" s="11"/>
      <c r="F25" s="11"/>
      <c r="G25" s="11"/>
    </row>
    <row r="27" spans="1:7" ht="18.75" x14ac:dyDescent="0.3">
      <c r="A27" s="56" t="str">
        <f>A1</f>
        <v>AL-QOYYUM ROYAL CLINIC</v>
      </c>
      <c r="B27" s="56"/>
      <c r="C27" s="56"/>
      <c r="D27" s="56"/>
      <c r="E27" s="56"/>
      <c r="F27" s="56"/>
      <c r="G27" s="56"/>
    </row>
    <row r="28" spans="1:7" x14ac:dyDescent="0.25">
      <c r="A28" s="53" t="s">
        <v>50</v>
      </c>
      <c r="B28" s="53"/>
      <c r="C28" s="53"/>
      <c r="D28" s="53"/>
      <c r="E28" s="53"/>
      <c r="F28" s="53"/>
      <c r="G28" s="53"/>
    </row>
    <row r="29" spans="1:7" ht="15.75" thickBot="1" x14ac:dyDescent="0.3">
      <c r="A29" s="53" t="s">
        <v>286</v>
      </c>
      <c r="B29" s="53"/>
      <c r="C29" s="53"/>
      <c r="D29" s="53"/>
      <c r="E29" s="53"/>
      <c r="F29" s="53"/>
      <c r="G29" s="53"/>
    </row>
    <row r="30" spans="1:7" ht="19.5" thickTop="1" x14ac:dyDescent="0.3">
      <c r="A30" s="54" t="s">
        <v>0</v>
      </c>
      <c r="B30" s="54"/>
      <c r="C30" s="54"/>
      <c r="D30" s="54"/>
      <c r="E30" s="54"/>
      <c r="F30" s="54"/>
      <c r="G30" s="54"/>
    </row>
    <row r="31" spans="1:7" ht="15.75" x14ac:dyDescent="0.25">
      <c r="A31" s="55" t="s">
        <v>54</v>
      </c>
      <c r="B31" s="55"/>
      <c r="C31" s="55"/>
      <c r="D31" s="55"/>
      <c r="E31" s="55"/>
      <c r="F31" s="55"/>
      <c r="G31" s="55"/>
    </row>
    <row r="32" spans="1:7" ht="15.75" x14ac:dyDescent="0.25">
      <c r="A32" s="11"/>
      <c r="B32" s="11"/>
      <c r="C32" s="11"/>
      <c r="D32" s="11"/>
      <c r="E32" s="11"/>
      <c r="F32" s="11"/>
      <c r="G32" s="11"/>
    </row>
    <row r="33" spans="1:7" ht="15.75" x14ac:dyDescent="0.25">
      <c r="A33" s="11" t="s">
        <v>1</v>
      </c>
      <c r="B33" s="12"/>
      <c r="C33" s="11" t="s">
        <v>195</v>
      </c>
      <c r="D33" s="11"/>
      <c r="E33" s="11"/>
      <c r="F33" s="11"/>
      <c r="G33" s="13">
        <f ca="1">TODAY()</f>
        <v>46301</v>
      </c>
    </row>
    <row r="34" spans="1:7" ht="15.75" x14ac:dyDescent="0.25">
      <c r="A34" s="11" t="s">
        <v>2</v>
      </c>
      <c r="B34" s="11"/>
      <c r="C34" s="11" t="s">
        <v>13</v>
      </c>
      <c r="D34" s="11" t="s">
        <v>55</v>
      </c>
      <c r="E34" s="11"/>
      <c r="F34" s="11"/>
      <c r="G34" s="11"/>
    </row>
    <row r="35" spans="1:7" ht="15.75" x14ac:dyDescent="0.25">
      <c r="A35" s="11" t="s">
        <v>3</v>
      </c>
      <c r="B35" s="11"/>
      <c r="C35" s="11" t="s">
        <v>15</v>
      </c>
      <c r="D35" s="11" t="s">
        <v>48</v>
      </c>
      <c r="E35" s="11"/>
      <c r="F35" s="11"/>
      <c r="G35" s="11"/>
    </row>
    <row r="36" spans="1:7" ht="15.75" x14ac:dyDescent="0.25">
      <c r="A36" s="11" t="s">
        <v>14</v>
      </c>
      <c r="B36" s="11"/>
      <c r="C36" s="11"/>
      <c r="D36" s="11"/>
      <c r="E36" s="11"/>
      <c r="F36" s="11"/>
      <c r="G36" s="11"/>
    </row>
    <row r="37" spans="1:7" x14ac:dyDescent="0.25">
      <c r="A37" s="17" t="s">
        <v>5</v>
      </c>
      <c r="B37" s="17" t="s">
        <v>6</v>
      </c>
      <c r="C37" s="17"/>
      <c r="D37" s="17"/>
      <c r="E37" s="17"/>
      <c r="F37" s="17"/>
      <c r="G37" s="1" t="s">
        <v>254</v>
      </c>
    </row>
    <row r="38" spans="1:7" x14ac:dyDescent="0.25">
      <c r="A38" s="17"/>
      <c r="B38" s="17" t="s">
        <v>7</v>
      </c>
      <c r="C38" s="17"/>
      <c r="D38" s="17"/>
      <c r="E38" s="17"/>
      <c r="F38" s="17"/>
      <c r="G38" s="1" t="s">
        <v>254</v>
      </c>
    </row>
    <row r="39" spans="1:7" x14ac:dyDescent="0.25">
      <c r="A39" s="17" t="s">
        <v>4</v>
      </c>
      <c r="B39" s="17" t="s">
        <v>95</v>
      </c>
      <c r="C39" s="17"/>
      <c r="D39" s="17"/>
      <c r="E39" s="18">
        <v>15</v>
      </c>
      <c r="F39" s="17" t="s">
        <v>252</v>
      </c>
      <c r="G39" s="1">
        <f>VLOOKUP(B39,HARGA!$B$3:$D$181,3,FALSE)*E39</f>
        <v>105000</v>
      </c>
    </row>
    <row r="40" spans="1:7" x14ac:dyDescent="0.25">
      <c r="A40" s="17"/>
      <c r="B40" s="17" t="s">
        <v>41</v>
      </c>
      <c r="C40" s="17"/>
      <c r="D40" s="17"/>
      <c r="E40" s="18">
        <v>1</v>
      </c>
      <c r="F40" s="17" t="s">
        <v>252</v>
      </c>
      <c r="G40" s="1">
        <f>VLOOKUP(B40,HARGA!$B$3:$D$181,3,FALSE)*E40</f>
        <v>650000</v>
      </c>
    </row>
    <row r="41" spans="1:7" x14ac:dyDescent="0.25">
      <c r="A41" s="17"/>
      <c r="B41" s="17"/>
      <c r="C41" s="17"/>
      <c r="D41" s="17"/>
      <c r="E41" s="18"/>
      <c r="F41" s="17"/>
      <c r="G41" s="21"/>
    </row>
    <row r="42" spans="1:7" ht="15.75" x14ac:dyDescent="0.25">
      <c r="A42" s="11" t="s">
        <v>9</v>
      </c>
      <c r="B42" s="11"/>
      <c r="C42" s="11"/>
      <c r="D42" s="11"/>
      <c r="E42" s="11"/>
      <c r="F42" s="11"/>
      <c r="G42" s="15">
        <f>SUM(G37:G41)</f>
        <v>755000</v>
      </c>
    </row>
    <row r="43" spans="1:7" ht="15.75" x14ac:dyDescent="0.25">
      <c r="A43" s="11"/>
      <c r="B43" s="11"/>
      <c r="C43" s="11"/>
      <c r="D43" s="11"/>
      <c r="E43" s="11"/>
      <c r="F43" s="11"/>
      <c r="G43" s="14"/>
    </row>
    <row r="44" spans="1:7" ht="15.75" x14ac:dyDescent="0.25">
      <c r="A44" s="11" t="s">
        <v>12</v>
      </c>
      <c r="B44" s="11"/>
      <c r="C44" s="11" t="s">
        <v>11</v>
      </c>
      <c r="D44" s="11" t="s">
        <v>53</v>
      </c>
      <c r="E44" s="11"/>
      <c r="F44" s="11"/>
      <c r="G44" s="11"/>
    </row>
    <row r="45" spans="1:7" ht="15.75" x14ac:dyDescent="0.25">
      <c r="A45" s="11" t="s">
        <v>10</v>
      </c>
      <c r="B45" s="11"/>
      <c r="C45" s="16" t="s">
        <v>13</v>
      </c>
      <c r="D45" s="16" t="s">
        <v>255</v>
      </c>
      <c r="E45" s="11"/>
      <c r="F45" s="11"/>
      <c r="G45" s="11"/>
    </row>
    <row r="46" spans="1:7" ht="17.25" customHeight="1" x14ac:dyDescent="0.25">
      <c r="A46" s="11"/>
      <c r="B46" s="11"/>
      <c r="C46" s="11"/>
      <c r="D46" s="11"/>
      <c r="E46" s="11"/>
      <c r="F46" s="11"/>
      <c r="G46" s="11"/>
    </row>
    <row r="47" spans="1:7" ht="15.75" x14ac:dyDescent="0.25">
      <c r="A47" s="11"/>
      <c r="B47" s="11"/>
      <c r="C47" s="11"/>
      <c r="D47" s="11"/>
      <c r="E47" s="11"/>
      <c r="F47" s="11"/>
      <c r="G47" s="11" t="s">
        <v>16</v>
      </c>
    </row>
    <row r="48" spans="1:7" ht="15.75" x14ac:dyDescent="0.25">
      <c r="A48" s="11"/>
      <c r="B48" s="11"/>
      <c r="C48" s="11"/>
      <c r="D48" s="11"/>
      <c r="E48" s="11"/>
      <c r="F48" s="11"/>
      <c r="G48" s="11"/>
    </row>
    <row r="49" spans="1:7" ht="15.75" x14ac:dyDescent="0.25">
      <c r="A49" s="11"/>
      <c r="B49" s="11"/>
      <c r="C49" s="11"/>
      <c r="D49" s="11"/>
      <c r="E49" s="11"/>
      <c r="F49" s="11"/>
      <c r="G49" s="11"/>
    </row>
    <row r="50" spans="1:7" ht="15.75" x14ac:dyDescent="0.25">
      <c r="A50" s="11"/>
      <c r="B50" s="11"/>
      <c r="C50" s="11"/>
      <c r="D50" s="11"/>
      <c r="E50" s="11"/>
      <c r="F50" s="11"/>
      <c r="G50" s="11" t="s">
        <v>17</v>
      </c>
    </row>
    <row r="51" spans="1:7" ht="15.75" x14ac:dyDescent="0.25">
      <c r="A51" s="11"/>
      <c r="B51" s="11"/>
      <c r="C51" s="11"/>
      <c r="D51" s="11"/>
      <c r="E51" s="11"/>
      <c r="F51" s="11"/>
      <c r="G51" s="11"/>
    </row>
  </sheetData>
  <mergeCells count="10">
    <mergeCell ref="A28:G28"/>
    <mergeCell ref="A29:G29"/>
    <mergeCell ref="A30:G30"/>
    <mergeCell ref="A31:G31"/>
    <mergeCell ref="A1:G1"/>
    <mergeCell ref="A2:G2"/>
    <mergeCell ref="A3:G3"/>
    <mergeCell ref="A4:G4"/>
    <mergeCell ref="A5:G5"/>
    <mergeCell ref="A27:G27"/>
  </mergeCells>
  <pageMargins left="0.23622047244094491" right="0.23622047244094491" top="0.35433070866141736" bottom="0.74803149606299213" header="0.31496062992125984" footer="0.31496062992125984"/>
  <pageSetup paperSize="9" orientation="portrait" horizontalDpi="18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E47E8-786D-49D5-AF03-098B0D2130DD}">
  <dimension ref="A1:I192"/>
  <sheetViews>
    <sheetView workbookViewId="0">
      <pane ySplit="2" topLeftCell="A21" activePane="bottomLeft" state="frozen"/>
      <selection pane="bottomLeft" activeCell="B33" sqref="B33"/>
    </sheetView>
  </sheetViews>
  <sheetFormatPr defaultRowHeight="15" x14ac:dyDescent="0.25"/>
  <cols>
    <col min="1" max="1" width="4.42578125" customWidth="1"/>
    <col min="2" max="2" width="28.85546875" customWidth="1"/>
    <col min="3" max="3" width="19.140625" customWidth="1"/>
    <col min="4" max="4" width="16.7109375" customWidth="1"/>
    <col min="5" max="5" width="5.5703125" customWidth="1"/>
    <col min="6" max="6" width="17.42578125" customWidth="1"/>
    <col min="7" max="7" width="18.28515625" customWidth="1"/>
    <col min="9" max="9" width="14" bestFit="1" customWidth="1"/>
  </cols>
  <sheetData>
    <row r="1" spans="1:9" ht="15.75" thickBot="1" x14ac:dyDescent="0.3"/>
    <row r="2" spans="1:9" ht="16.5" thickTop="1" thickBot="1" x14ac:dyDescent="0.3">
      <c r="A2" s="6" t="s">
        <v>43</v>
      </c>
      <c r="B2" s="7" t="s">
        <v>44</v>
      </c>
      <c r="C2" s="8" t="s">
        <v>45</v>
      </c>
      <c r="D2" s="8" t="s">
        <v>45</v>
      </c>
      <c r="E2" s="29"/>
      <c r="F2" s="29"/>
      <c r="G2" s="29"/>
    </row>
    <row r="3" spans="1:9" ht="15.75" thickTop="1" x14ac:dyDescent="0.25">
      <c r="A3" s="9">
        <v>1</v>
      </c>
      <c r="B3" s="2" t="s">
        <v>56</v>
      </c>
      <c r="C3" s="4">
        <f>VLOOKUP(B3,'[2]harga obat'!B$5:K$71,10,FALSE)</f>
        <v>5914.0800000000008</v>
      </c>
      <c r="D3" s="4">
        <v>6000</v>
      </c>
      <c r="E3" s="30"/>
      <c r="F3" s="30"/>
      <c r="G3" s="31"/>
    </row>
    <row r="4" spans="1:9" x14ac:dyDescent="0.25">
      <c r="A4" s="10">
        <f>A3+1</f>
        <v>2</v>
      </c>
      <c r="B4" s="3" t="s">
        <v>18</v>
      </c>
      <c r="C4" s="4">
        <f>VLOOKUP(B4,'[2]harga obat'!B$5:K$71,10,FALSE)</f>
        <v>7920</v>
      </c>
      <c r="D4" s="4">
        <v>8000</v>
      </c>
      <c r="E4" s="30"/>
      <c r="F4" s="30"/>
      <c r="G4" s="31"/>
    </row>
    <row r="5" spans="1:9" x14ac:dyDescent="0.25">
      <c r="A5" s="10">
        <f t="shared" ref="A5:A122" si="0">A4+1</f>
        <v>3</v>
      </c>
      <c r="B5" s="5" t="s">
        <v>19</v>
      </c>
      <c r="C5" s="4">
        <f>VLOOKUP(B5,'[2]harga obat'!B$5:K$71,10,FALSE)</f>
        <v>26136</v>
      </c>
      <c r="D5" s="4">
        <v>27000</v>
      </c>
      <c r="E5" s="30"/>
      <c r="F5" s="30"/>
      <c r="G5" s="31"/>
    </row>
    <row r="6" spans="1:9" x14ac:dyDescent="0.25">
      <c r="A6" s="10">
        <f t="shared" si="0"/>
        <v>4</v>
      </c>
      <c r="B6" s="5" t="s">
        <v>20</v>
      </c>
      <c r="C6" s="4">
        <f>VLOOKUP(B6,'[2]harga obat'!B$5:K$71,10,FALSE)</f>
        <v>108000</v>
      </c>
      <c r="D6" s="4">
        <v>110000</v>
      </c>
      <c r="E6" s="30"/>
      <c r="F6" s="30"/>
      <c r="G6" s="31"/>
    </row>
    <row r="7" spans="1:9" x14ac:dyDescent="0.25">
      <c r="A7" s="10">
        <f t="shared" si="0"/>
        <v>5</v>
      </c>
      <c r="B7" s="5" t="s">
        <v>8</v>
      </c>
      <c r="C7" s="4">
        <f>VLOOKUP(B7,'[2]harga obat'!B$5:K$71,10,FALSE)</f>
        <v>8791.1999999999989</v>
      </c>
      <c r="D7" s="4">
        <v>9000</v>
      </c>
      <c r="E7" s="30"/>
      <c r="F7" s="30"/>
      <c r="G7" s="31"/>
      <c r="I7" s="45"/>
    </row>
    <row r="8" spans="1:9" x14ac:dyDescent="0.25">
      <c r="A8" s="10">
        <f t="shared" si="0"/>
        <v>6</v>
      </c>
      <c r="B8" s="5" t="s">
        <v>21</v>
      </c>
      <c r="C8" s="4">
        <f>VLOOKUP(B8,'[2]harga obat'!B$5:K$71,10,FALSE)</f>
        <v>7405.9199999999992</v>
      </c>
      <c r="D8" s="4">
        <v>7500</v>
      </c>
      <c r="E8" s="30"/>
      <c r="F8" s="30"/>
      <c r="G8" s="31"/>
    </row>
    <row r="9" spans="1:9" x14ac:dyDescent="0.25">
      <c r="A9" s="10">
        <f t="shared" si="0"/>
        <v>7</v>
      </c>
      <c r="B9" s="5" t="s">
        <v>22</v>
      </c>
      <c r="C9" s="4">
        <f>VLOOKUP(B9,'[2]harga obat'!B$5:K$71,10,FALSE)</f>
        <v>18849.600000000002</v>
      </c>
      <c r="D9" s="4">
        <v>19000</v>
      </c>
      <c r="E9" s="30"/>
      <c r="F9" s="30"/>
      <c r="G9" s="31"/>
    </row>
    <row r="10" spans="1:9" x14ac:dyDescent="0.25">
      <c r="A10" s="10">
        <f t="shared" si="0"/>
        <v>8</v>
      </c>
      <c r="B10" s="5" t="s">
        <v>23</v>
      </c>
      <c r="C10" s="4">
        <f>VLOOKUP(B10,'[2]harga obat'!B$5:K$71,10,FALSE)</f>
        <v>0</v>
      </c>
      <c r="D10" s="4">
        <v>35000</v>
      </c>
      <c r="E10" s="30"/>
      <c r="F10" s="30"/>
      <c r="G10" s="31"/>
    </row>
    <row r="11" spans="1:9" x14ac:dyDescent="0.25">
      <c r="A11" s="10">
        <f t="shared" si="0"/>
        <v>9</v>
      </c>
      <c r="B11" s="5" t="s">
        <v>24</v>
      </c>
      <c r="C11" s="4">
        <f>VLOOKUP(B11,'[2]harga obat'!B$5:K$71,10,FALSE)</f>
        <v>42120</v>
      </c>
      <c r="D11" s="4">
        <v>43000</v>
      </c>
      <c r="E11" s="30"/>
      <c r="F11" s="30"/>
      <c r="G11" s="31"/>
    </row>
    <row r="12" spans="1:9" x14ac:dyDescent="0.25">
      <c r="A12" s="10">
        <f t="shared" si="0"/>
        <v>10</v>
      </c>
      <c r="B12" s="5" t="s">
        <v>25</v>
      </c>
      <c r="C12" s="4">
        <f>VLOOKUP(B12,'[2]harga obat'!B$5:K$71,10,FALSE)</f>
        <v>19980</v>
      </c>
      <c r="D12" s="4">
        <v>20000</v>
      </c>
      <c r="E12" s="30"/>
      <c r="F12" s="30"/>
      <c r="G12" s="31"/>
    </row>
    <row r="13" spans="1:9" x14ac:dyDescent="0.25">
      <c r="A13" s="10">
        <f t="shared" si="0"/>
        <v>11</v>
      </c>
      <c r="B13" s="5" t="s">
        <v>89</v>
      </c>
      <c r="C13" s="4">
        <f>VLOOKUP(B13,'[2]harga obat'!B$5:K$71,10,FALSE)</f>
        <v>23253.119999999999</v>
      </c>
      <c r="D13" s="4">
        <v>4000</v>
      </c>
      <c r="E13" s="30"/>
      <c r="F13" s="30"/>
      <c r="G13" s="31"/>
    </row>
    <row r="14" spans="1:9" x14ac:dyDescent="0.25">
      <c r="A14" s="10">
        <f t="shared" si="0"/>
        <v>12</v>
      </c>
      <c r="B14" s="5" t="s">
        <v>26</v>
      </c>
      <c r="C14" s="4">
        <f>VLOOKUP(B14,'[2]harga obat'!B$5:K$71,10,FALSE)</f>
        <v>760.32</v>
      </c>
      <c r="D14" s="4">
        <v>1000</v>
      </c>
      <c r="E14" s="30"/>
      <c r="F14" s="30"/>
      <c r="G14" s="31"/>
    </row>
    <row r="15" spans="1:9" x14ac:dyDescent="0.25">
      <c r="A15" s="10">
        <f t="shared" si="0"/>
        <v>13</v>
      </c>
      <c r="B15" s="5" t="s">
        <v>27</v>
      </c>
      <c r="C15" s="4">
        <f>VLOOKUP(B15,'[2]harga obat'!B$5:K$71,10,FALSE)</f>
        <v>47520</v>
      </c>
      <c r="D15" s="4">
        <v>48000</v>
      </c>
      <c r="E15" s="30"/>
      <c r="F15" s="30"/>
      <c r="G15" s="31"/>
    </row>
    <row r="16" spans="1:9" x14ac:dyDescent="0.25">
      <c r="A16" s="10">
        <f t="shared" si="0"/>
        <v>14</v>
      </c>
      <c r="B16" s="5" t="s">
        <v>28</v>
      </c>
      <c r="C16" s="4">
        <f>VLOOKUP(B16,'[2]harga obat'!B$5:K$71,10,FALSE)</f>
        <v>61488</v>
      </c>
      <c r="D16" s="4">
        <v>62000</v>
      </c>
      <c r="E16" s="30"/>
      <c r="F16" s="30"/>
      <c r="G16" s="31"/>
    </row>
    <row r="17" spans="1:7" x14ac:dyDescent="0.25">
      <c r="A17" s="10">
        <f t="shared" si="0"/>
        <v>15</v>
      </c>
      <c r="B17" s="5" t="s">
        <v>29</v>
      </c>
      <c r="C17" s="4">
        <f>VLOOKUP(B17,'[2]harga obat'!B$5:K$71,10,FALSE)</f>
        <v>4867.2</v>
      </c>
      <c r="D17" s="4">
        <v>5000</v>
      </c>
      <c r="E17" s="30"/>
      <c r="F17" s="30"/>
      <c r="G17" s="31"/>
    </row>
    <row r="18" spans="1:7" x14ac:dyDescent="0.25">
      <c r="A18" s="10">
        <f t="shared" si="0"/>
        <v>16</v>
      </c>
      <c r="B18" s="5" t="s">
        <v>253</v>
      </c>
      <c r="C18" s="4">
        <f>VLOOKUP(B18,'[2]harga obat'!B$74:K$74,10)</f>
        <v>7056</v>
      </c>
      <c r="D18" s="4">
        <v>7500</v>
      </c>
      <c r="E18" s="30"/>
      <c r="F18" s="30"/>
      <c r="G18" s="31"/>
    </row>
    <row r="19" spans="1:7" x14ac:dyDescent="0.25">
      <c r="A19" s="10">
        <f>A17+1</f>
        <v>16</v>
      </c>
      <c r="B19" s="5" t="s">
        <v>200</v>
      </c>
      <c r="C19" s="4">
        <f>VLOOKUP(B19,'[2]harga obat'!B$5:K$71,10,FALSE)</f>
        <v>4464</v>
      </c>
      <c r="D19" s="4">
        <v>5000</v>
      </c>
      <c r="E19" s="30"/>
      <c r="F19" s="30"/>
      <c r="G19" s="31"/>
    </row>
    <row r="20" spans="1:7" x14ac:dyDescent="0.25">
      <c r="A20" s="10">
        <f t="shared" si="0"/>
        <v>17</v>
      </c>
      <c r="B20" s="5" t="s">
        <v>31</v>
      </c>
      <c r="C20" s="4">
        <f>VLOOKUP(B20,'[2]harga obat'!B$5:K$71,10,FALSE)</f>
        <v>23976</v>
      </c>
      <c r="D20" s="4">
        <v>24000</v>
      </c>
      <c r="E20" s="30"/>
      <c r="F20" s="30"/>
      <c r="G20" s="31"/>
    </row>
    <row r="21" spans="1:7" x14ac:dyDescent="0.25">
      <c r="A21" s="10">
        <f t="shared" si="0"/>
        <v>18</v>
      </c>
      <c r="B21" s="5" t="s">
        <v>47</v>
      </c>
      <c r="C21" s="4">
        <f>VLOOKUP(B21,'[2]harga obat'!B$5:K$71,10,FALSE)</f>
        <v>36038.400000000009</v>
      </c>
      <c r="D21" s="4">
        <v>37000</v>
      </c>
      <c r="E21" s="30"/>
      <c r="F21" s="30"/>
      <c r="G21" s="31"/>
    </row>
    <row r="22" spans="1:7" x14ac:dyDescent="0.25">
      <c r="A22" s="10">
        <f t="shared" si="0"/>
        <v>19</v>
      </c>
      <c r="B22" s="5" t="s">
        <v>32</v>
      </c>
      <c r="C22" s="4">
        <f>VLOOKUP(B22,'[2]harga obat'!B$5:K$71,10,FALSE)</f>
        <v>23040</v>
      </c>
      <c r="D22" s="4">
        <v>26000</v>
      </c>
      <c r="E22" s="30"/>
      <c r="F22" s="30"/>
      <c r="G22" s="31"/>
    </row>
    <row r="23" spans="1:7" x14ac:dyDescent="0.25">
      <c r="A23" s="10">
        <f t="shared" si="0"/>
        <v>20</v>
      </c>
      <c r="B23" s="5" t="s">
        <v>33</v>
      </c>
      <c r="C23" s="4">
        <f>VLOOKUP(B23,'[2]harga obat'!B$5:K$71,10,FALSE)</f>
        <v>67824</v>
      </c>
      <c r="D23" s="4">
        <v>68000</v>
      </c>
      <c r="E23" s="30"/>
      <c r="F23" s="30"/>
      <c r="G23" s="31"/>
    </row>
    <row r="24" spans="1:7" x14ac:dyDescent="0.25">
      <c r="A24" s="10">
        <f t="shared" si="0"/>
        <v>21</v>
      </c>
      <c r="B24" s="5" t="s">
        <v>34</v>
      </c>
      <c r="C24" s="4">
        <f>VLOOKUP(B24,'[2]harga obat'!B$5:K$71,10,FALSE)</f>
        <v>3600</v>
      </c>
      <c r="D24" s="4">
        <v>4000</v>
      </c>
      <c r="E24" s="30"/>
      <c r="F24" s="30"/>
      <c r="G24" s="31"/>
    </row>
    <row r="25" spans="1:7" x14ac:dyDescent="0.25">
      <c r="A25" s="10">
        <f t="shared" si="0"/>
        <v>22</v>
      </c>
      <c r="B25" s="5" t="s">
        <v>35</v>
      </c>
      <c r="C25" s="4">
        <f>VLOOKUP(B25,'[2]harga obat'!B$5:K$71,10,FALSE)</f>
        <v>4320</v>
      </c>
      <c r="D25" s="4">
        <v>5000</v>
      </c>
      <c r="E25" s="30"/>
      <c r="F25" s="30"/>
      <c r="G25" s="31"/>
    </row>
    <row r="26" spans="1:7" x14ac:dyDescent="0.25">
      <c r="A26" s="10">
        <f t="shared" si="0"/>
        <v>23</v>
      </c>
      <c r="B26" s="5" t="s">
        <v>172</v>
      </c>
      <c r="C26" s="4">
        <f>VLOOKUP(B26,'[2]harga obat'!B$5:K$71,10,FALSE)</f>
        <v>648</v>
      </c>
      <c r="D26" s="4">
        <v>1000</v>
      </c>
      <c r="E26" s="30"/>
      <c r="F26" s="30"/>
      <c r="G26" s="31"/>
    </row>
    <row r="27" spans="1:7" x14ac:dyDescent="0.25">
      <c r="A27" s="10">
        <f t="shared" si="0"/>
        <v>24</v>
      </c>
      <c r="B27" s="5" t="s">
        <v>36</v>
      </c>
      <c r="C27" s="4">
        <f>VLOOKUP(B27,'[2]harga obat'!B$5:K$71,10,FALSE)</f>
        <v>9792</v>
      </c>
      <c r="D27" s="4">
        <v>13000</v>
      </c>
      <c r="E27" s="30"/>
      <c r="F27" s="30"/>
      <c r="G27" s="31"/>
    </row>
    <row r="28" spans="1:7" x14ac:dyDescent="0.25">
      <c r="A28" s="10">
        <f t="shared" si="0"/>
        <v>25</v>
      </c>
      <c r="B28" s="5" t="s">
        <v>37</v>
      </c>
      <c r="C28" s="4">
        <f>VLOOKUP(B28,'[2]harga obat'!B$5:K$71,10,FALSE)</f>
        <v>4039.2000000000003</v>
      </c>
      <c r="D28" s="4">
        <v>5000</v>
      </c>
      <c r="E28" s="30"/>
      <c r="F28" s="30"/>
      <c r="G28" s="31"/>
    </row>
    <row r="29" spans="1:7" x14ac:dyDescent="0.25">
      <c r="A29" s="10">
        <f t="shared" si="0"/>
        <v>26</v>
      </c>
      <c r="B29" s="5" t="s">
        <v>38</v>
      </c>
      <c r="C29" s="4">
        <f>VLOOKUP(B29,'[2]harga obat'!B$5:K$71,10,FALSE)</f>
        <v>67320</v>
      </c>
      <c r="D29" s="4">
        <v>68000</v>
      </c>
      <c r="E29" s="30"/>
      <c r="F29" s="30"/>
      <c r="G29" s="31"/>
    </row>
    <row r="30" spans="1:7" x14ac:dyDescent="0.25">
      <c r="A30" s="10">
        <f t="shared" si="0"/>
        <v>27</v>
      </c>
      <c r="B30" s="5" t="s">
        <v>57</v>
      </c>
      <c r="C30" s="4">
        <f>VLOOKUP(B30,'[2]harga obat'!B$5:K$71,10,FALSE)</f>
        <v>8791.1999999999989</v>
      </c>
      <c r="D30" s="4">
        <v>9000</v>
      </c>
      <c r="E30" s="30"/>
      <c r="F30" s="30"/>
      <c r="G30" s="31"/>
    </row>
    <row r="31" spans="1:7" x14ac:dyDescent="0.25">
      <c r="A31" s="10">
        <f t="shared" si="0"/>
        <v>28</v>
      </c>
      <c r="B31" s="5" t="s">
        <v>39</v>
      </c>
      <c r="C31" s="4">
        <f>VLOOKUP(B31,'[2]harga obat'!B$5:K$71,10,FALSE)</f>
        <v>42840</v>
      </c>
      <c r="D31" s="4">
        <v>43000</v>
      </c>
      <c r="E31" s="30"/>
      <c r="F31" s="30"/>
      <c r="G31" s="31"/>
    </row>
    <row r="32" spans="1:7" x14ac:dyDescent="0.25">
      <c r="A32" s="10">
        <f t="shared" si="0"/>
        <v>29</v>
      </c>
      <c r="B32" s="5" t="s">
        <v>40</v>
      </c>
      <c r="C32" s="4">
        <f>VLOOKUP(B32,'[2]harga obat'!B$5:K$71,10,FALSE)</f>
        <v>311220</v>
      </c>
      <c r="D32" s="4">
        <v>312000</v>
      </c>
      <c r="E32" s="30"/>
      <c r="F32" s="30"/>
      <c r="G32" s="31"/>
    </row>
    <row r="33" spans="1:7" x14ac:dyDescent="0.25">
      <c r="A33" s="10">
        <f t="shared" si="0"/>
        <v>30</v>
      </c>
      <c r="B33" s="5" t="s">
        <v>41</v>
      </c>
      <c r="C33" s="4">
        <f>VLOOKUP(B33,'[2]harga obat'!B$5:K$71,10,FALSE)</f>
        <v>504000</v>
      </c>
      <c r="D33" s="4">
        <v>650000</v>
      </c>
      <c r="E33" s="30"/>
      <c r="F33" s="30"/>
      <c r="G33" s="31"/>
    </row>
    <row r="34" spans="1:7" x14ac:dyDescent="0.25">
      <c r="A34" s="10">
        <f t="shared" si="0"/>
        <v>31</v>
      </c>
      <c r="B34" s="5" t="s">
        <v>42</v>
      </c>
      <c r="C34" s="4">
        <f>VLOOKUP(B34,'[2]harga obat'!B$5:K$71,10,FALSE)</f>
        <v>30240</v>
      </c>
      <c r="D34" s="4">
        <v>31000</v>
      </c>
      <c r="E34" s="30"/>
      <c r="F34" s="30"/>
      <c r="G34" s="31"/>
    </row>
    <row r="35" spans="1:7" x14ac:dyDescent="0.25">
      <c r="A35" s="10">
        <f t="shared" si="0"/>
        <v>32</v>
      </c>
      <c r="B35" s="5" t="s">
        <v>58</v>
      </c>
      <c r="C35" s="4">
        <f>VLOOKUP(B35,'[2]harga obat'!B$5:K$71,10,FALSE)</f>
        <v>5544</v>
      </c>
      <c r="D35" s="4">
        <v>6000</v>
      </c>
      <c r="E35" s="30"/>
      <c r="F35" s="30"/>
      <c r="G35" s="31"/>
    </row>
    <row r="36" spans="1:7" x14ac:dyDescent="0.25">
      <c r="A36" s="10">
        <f t="shared" si="0"/>
        <v>33</v>
      </c>
      <c r="B36" s="5" t="s">
        <v>59</v>
      </c>
      <c r="C36" s="4">
        <f>VLOOKUP(B36,'[2]harga obat'!B$5:K$71,10,FALSE)</f>
        <v>24480</v>
      </c>
      <c r="D36" s="4">
        <v>26000</v>
      </c>
      <c r="E36" s="30"/>
      <c r="F36" s="30"/>
      <c r="G36" s="31"/>
    </row>
    <row r="37" spans="1:7" x14ac:dyDescent="0.25">
      <c r="A37" s="10">
        <f t="shared" si="0"/>
        <v>34</v>
      </c>
      <c r="B37" s="5" t="s">
        <v>189</v>
      </c>
      <c r="C37" s="4">
        <f>VLOOKUP(B37,'[2]harga obat'!B$5:K$71,10,FALSE)</f>
        <v>2917.08</v>
      </c>
      <c r="D37" s="4">
        <v>3000</v>
      </c>
      <c r="E37" s="30"/>
      <c r="F37" s="30"/>
      <c r="G37" s="31"/>
    </row>
    <row r="38" spans="1:7" x14ac:dyDescent="0.25">
      <c r="A38" s="10">
        <f t="shared" si="0"/>
        <v>35</v>
      </c>
      <c r="B38" s="22" t="s">
        <v>74</v>
      </c>
      <c r="C38" s="4">
        <f>VLOOKUP(B38,'[2]harga obat'!B$5:K$71,10,FALSE)</f>
        <v>76320</v>
      </c>
      <c r="D38" s="23">
        <v>77000</v>
      </c>
      <c r="E38" s="30"/>
      <c r="F38" s="30"/>
      <c r="G38" s="31"/>
    </row>
    <row r="39" spans="1:7" x14ac:dyDescent="0.25">
      <c r="A39" s="10">
        <f t="shared" si="0"/>
        <v>36</v>
      </c>
      <c r="B39" s="22" t="s">
        <v>60</v>
      </c>
      <c r="C39" s="4">
        <f>VLOOKUP(B39,'[2]harga obat'!B$5:K$71,10,FALSE)</f>
        <v>324000</v>
      </c>
      <c r="D39" s="23">
        <v>325000</v>
      </c>
      <c r="E39" s="30"/>
      <c r="F39" s="30"/>
      <c r="G39" s="31"/>
    </row>
    <row r="40" spans="1:7" x14ac:dyDescent="0.25">
      <c r="A40" s="10">
        <f t="shared" si="0"/>
        <v>37</v>
      </c>
      <c r="B40" s="22" t="s">
        <v>61</v>
      </c>
      <c r="C40" s="4">
        <f>VLOOKUP(B40,'[2]harga obat'!B$5:K$71,10,FALSE)</f>
        <v>77760</v>
      </c>
      <c r="D40" s="23">
        <v>78000</v>
      </c>
      <c r="E40" s="30"/>
      <c r="F40" s="30"/>
      <c r="G40" s="31"/>
    </row>
    <row r="41" spans="1:7" x14ac:dyDescent="0.25">
      <c r="A41" s="10">
        <f t="shared" si="0"/>
        <v>38</v>
      </c>
      <c r="B41" s="22" t="s">
        <v>62</v>
      </c>
      <c r="C41" s="4">
        <f>VLOOKUP(B41,'[2]harga obat'!B$5:K$71,10,FALSE)</f>
        <v>57600</v>
      </c>
      <c r="D41" s="23">
        <v>58000</v>
      </c>
      <c r="E41" s="30"/>
      <c r="F41" s="30"/>
      <c r="G41" s="31"/>
    </row>
    <row r="42" spans="1:7" x14ac:dyDescent="0.25">
      <c r="A42" s="10">
        <f t="shared" si="0"/>
        <v>39</v>
      </c>
      <c r="B42" s="22" t="s">
        <v>63</v>
      </c>
      <c r="C42" s="4">
        <f>VLOOKUP(B42,'[2]harga obat'!B$5:K$71,10,FALSE)</f>
        <v>7992</v>
      </c>
      <c r="D42" s="23">
        <v>8000</v>
      </c>
      <c r="E42" s="30"/>
      <c r="F42" s="30"/>
      <c r="G42" s="31"/>
    </row>
    <row r="43" spans="1:7" x14ac:dyDescent="0.25">
      <c r="A43" s="10">
        <f t="shared" si="0"/>
        <v>40</v>
      </c>
      <c r="B43" s="22" t="s">
        <v>64</v>
      </c>
      <c r="C43" s="4">
        <f>VLOOKUP(B43,'[2]harga obat'!B$5:K$71,10,FALSE)</f>
        <v>620640</v>
      </c>
      <c r="D43" s="24">
        <v>620000</v>
      </c>
      <c r="E43" s="30"/>
      <c r="F43" s="30"/>
      <c r="G43" s="31"/>
    </row>
    <row r="44" spans="1:7" x14ac:dyDescent="0.25">
      <c r="A44" s="10">
        <f t="shared" si="0"/>
        <v>41</v>
      </c>
      <c r="B44" s="22" t="s">
        <v>65</v>
      </c>
      <c r="C44" s="4">
        <f>VLOOKUP(B44,'[2]harga obat'!B$5:K$71,10,FALSE)</f>
        <v>24000</v>
      </c>
      <c r="D44" s="24">
        <v>24000</v>
      </c>
      <c r="E44" s="30"/>
      <c r="F44" s="30"/>
      <c r="G44" s="30"/>
    </row>
    <row r="45" spans="1:7" x14ac:dyDescent="0.25">
      <c r="A45" s="10">
        <f t="shared" si="0"/>
        <v>42</v>
      </c>
      <c r="B45" s="22" t="s">
        <v>66</v>
      </c>
      <c r="C45" s="4">
        <f>VLOOKUP(B45,'[2]harga obat'!B$5:K$71,10,FALSE)</f>
        <v>1267.2</v>
      </c>
      <c r="D45" s="24">
        <v>1500</v>
      </c>
      <c r="E45" s="30"/>
      <c r="F45" s="30"/>
      <c r="G45" s="30"/>
    </row>
    <row r="46" spans="1:7" x14ac:dyDescent="0.25">
      <c r="A46" s="10">
        <f t="shared" si="0"/>
        <v>43</v>
      </c>
      <c r="B46" s="22" t="s">
        <v>67</v>
      </c>
      <c r="C46" s="4">
        <f>VLOOKUP(B46,'[2]harga obat'!B$5:K$71,10,FALSE)</f>
        <v>296208</v>
      </c>
      <c r="D46" s="24">
        <v>297000</v>
      </c>
      <c r="E46" s="30"/>
      <c r="F46" s="30"/>
      <c r="G46" s="30"/>
    </row>
    <row r="47" spans="1:7" x14ac:dyDescent="0.25">
      <c r="A47" s="10">
        <f t="shared" si="0"/>
        <v>44</v>
      </c>
      <c r="B47" s="22" t="s">
        <v>68</v>
      </c>
      <c r="C47" s="4">
        <f>VLOOKUP(B47,'[2]harga obat'!B$5:K$71,10,FALSE)</f>
        <v>15120</v>
      </c>
      <c r="D47" s="24">
        <v>17000</v>
      </c>
      <c r="E47" s="30"/>
      <c r="F47" s="30"/>
      <c r="G47" s="30"/>
    </row>
    <row r="48" spans="1:7" x14ac:dyDescent="0.25">
      <c r="A48" s="10">
        <f t="shared" si="0"/>
        <v>45</v>
      </c>
      <c r="B48" s="22" t="s">
        <v>69</v>
      </c>
      <c r="C48" s="4">
        <f>VLOOKUP(B48,'[2]harga obat'!B$5:K$71,10,FALSE)</f>
        <v>576</v>
      </c>
      <c r="D48" s="24">
        <v>1000</v>
      </c>
      <c r="E48" s="30"/>
      <c r="F48" s="30"/>
      <c r="G48" s="30"/>
    </row>
    <row r="49" spans="1:7" x14ac:dyDescent="0.25">
      <c r="A49" s="10">
        <f t="shared" si="0"/>
        <v>46</v>
      </c>
      <c r="B49" s="22" t="s">
        <v>52</v>
      </c>
      <c r="C49" s="4">
        <f>VLOOKUP(B49,'[2]harga obat'!B$5:K$71,10,FALSE)</f>
        <v>30960</v>
      </c>
      <c r="D49" s="24">
        <v>31000</v>
      </c>
      <c r="E49" s="30"/>
      <c r="F49" s="49"/>
      <c r="G49" s="30"/>
    </row>
    <row r="50" spans="1:7" x14ac:dyDescent="0.25">
      <c r="A50" s="10">
        <f t="shared" si="0"/>
        <v>47</v>
      </c>
      <c r="B50" s="22" t="s">
        <v>77</v>
      </c>
      <c r="C50" s="4">
        <f>VLOOKUP(B50,'[2]harga obat'!B$5:K$71,10,FALSE)</f>
        <v>7192.8</v>
      </c>
      <c r="D50" s="25">
        <v>7200</v>
      </c>
      <c r="E50" s="30"/>
      <c r="F50" s="30"/>
      <c r="G50" s="30"/>
    </row>
    <row r="51" spans="1:7" x14ac:dyDescent="0.25">
      <c r="A51" s="10">
        <f t="shared" si="0"/>
        <v>48</v>
      </c>
      <c r="B51" s="22" t="s">
        <v>83</v>
      </c>
      <c r="C51" s="4">
        <f>VLOOKUP(B51,'[2]harga obat'!B$5:K$71,10,FALSE)</f>
        <v>20619.36</v>
      </c>
      <c r="D51" s="25">
        <v>21000</v>
      </c>
      <c r="E51" s="30"/>
      <c r="F51" s="30"/>
      <c r="G51" s="30"/>
    </row>
    <row r="52" spans="1:7" x14ac:dyDescent="0.25">
      <c r="A52" s="10">
        <f t="shared" si="0"/>
        <v>49</v>
      </c>
      <c r="B52" s="22" t="s">
        <v>84</v>
      </c>
      <c r="C52" s="4">
        <f>VLOOKUP(B52,'[2]harga obat'!B$5:K$71,10,FALSE)</f>
        <v>6473.5199999999995</v>
      </c>
      <c r="D52" s="25">
        <v>7000</v>
      </c>
    </row>
    <row r="53" spans="1:7" x14ac:dyDescent="0.25">
      <c r="A53" s="10">
        <f t="shared" si="0"/>
        <v>50</v>
      </c>
      <c r="B53" s="22" t="s">
        <v>164</v>
      </c>
      <c r="C53" s="4">
        <f>VLOOKUP(B53,'[2]harga obat'!B$5:K$71,10,FALSE)</f>
        <v>7192.8</v>
      </c>
      <c r="D53" s="25">
        <v>7500</v>
      </c>
    </row>
    <row r="54" spans="1:7" x14ac:dyDescent="0.25">
      <c r="A54" s="10">
        <f t="shared" si="0"/>
        <v>51</v>
      </c>
      <c r="B54" s="22" t="s">
        <v>171</v>
      </c>
      <c r="C54" s="4">
        <f>VLOOKUP(B54,'[2]harga obat'!B$5:K$71,10,FALSE)</f>
        <v>203796</v>
      </c>
      <c r="D54" s="25">
        <v>205000</v>
      </c>
    </row>
    <row r="55" spans="1:7" x14ac:dyDescent="0.25">
      <c r="A55" s="10">
        <f t="shared" si="0"/>
        <v>52</v>
      </c>
      <c r="B55" s="22" t="s">
        <v>173</v>
      </c>
      <c r="C55" s="4">
        <f>VLOOKUP(B55,'[2]harga obat'!B$79:J$110,9,FALSE)</f>
        <v>2060.16</v>
      </c>
      <c r="D55" s="25">
        <v>2500</v>
      </c>
    </row>
    <row r="56" spans="1:7" x14ac:dyDescent="0.25">
      <c r="A56" s="10">
        <f t="shared" si="0"/>
        <v>53</v>
      </c>
      <c r="B56" s="22" t="s">
        <v>190</v>
      </c>
      <c r="C56" s="4">
        <f>VLOOKUP(B56,'[2]harga obat'!B$5:K$71,10,FALSE)</f>
        <v>3170.16</v>
      </c>
      <c r="D56" s="25">
        <v>4000</v>
      </c>
    </row>
    <row r="57" spans="1:7" x14ac:dyDescent="0.25">
      <c r="A57" s="10">
        <f t="shared" si="0"/>
        <v>54</v>
      </c>
      <c r="B57" s="22" t="s">
        <v>182</v>
      </c>
      <c r="C57" s="4">
        <f>VLOOKUP(B57,'[2]harga obat'!B$5:K$71,10,FALSE)</f>
        <v>23096.880000000001</v>
      </c>
      <c r="D57" s="25">
        <v>24000</v>
      </c>
    </row>
    <row r="58" spans="1:7" x14ac:dyDescent="0.25">
      <c r="A58" s="10">
        <f t="shared" si="0"/>
        <v>55</v>
      </c>
      <c r="B58" s="22" t="s">
        <v>256</v>
      </c>
      <c r="C58" s="4">
        <f>VLOOKUP(B58,'[2]harga obat'!B$5:K$71,10,FALSE)</f>
        <v>1072.8</v>
      </c>
      <c r="D58" s="25">
        <v>1500</v>
      </c>
    </row>
    <row r="59" spans="1:7" x14ac:dyDescent="0.25">
      <c r="A59" s="10">
        <f t="shared" si="0"/>
        <v>56</v>
      </c>
      <c r="B59" s="22" t="s">
        <v>95</v>
      </c>
      <c r="C59" s="4">
        <f>VLOOKUP(B59,'[2]harga obat'!B$79:J$110,9,FALSE)</f>
        <v>1329.75</v>
      </c>
      <c r="D59" s="25">
        <v>7000</v>
      </c>
    </row>
    <row r="60" spans="1:7" x14ac:dyDescent="0.25">
      <c r="A60" s="10">
        <f t="shared" si="0"/>
        <v>57</v>
      </c>
      <c r="B60" s="22" t="s">
        <v>199</v>
      </c>
      <c r="C60" s="4">
        <f>VLOOKUP(B60,'[2]harga obat'!B$5:K$71,10,FALSE)</f>
        <v>576</v>
      </c>
      <c r="D60" s="25">
        <v>1000</v>
      </c>
    </row>
    <row r="61" spans="1:7" x14ac:dyDescent="0.25">
      <c r="A61" s="10">
        <f t="shared" si="0"/>
        <v>58</v>
      </c>
      <c r="B61" s="22" t="s">
        <v>201</v>
      </c>
      <c r="C61" s="4">
        <f>VLOOKUP(B61,'[2]harga obat'!B$5:K$71,10,FALSE)</f>
        <v>7776</v>
      </c>
      <c r="D61" s="25">
        <v>8000</v>
      </c>
    </row>
    <row r="62" spans="1:7" x14ac:dyDescent="0.25">
      <c r="A62" s="10">
        <f t="shared" si="0"/>
        <v>59</v>
      </c>
      <c r="B62" s="22" t="s">
        <v>202</v>
      </c>
      <c r="C62" s="4">
        <f>VLOOKUP(B62,'[2]harga obat'!B$5:K$71,10,FALSE)</f>
        <v>28440</v>
      </c>
      <c r="D62" s="25">
        <v>30000</v>
      </c>
    </row>
    <row r="63" spans="1:7" x14ac:dyDescent="0.25">
      <c r="A63" s="10">
        <f t="shared" si="0"/>
        <v>60</v>
      </c>
      <c r="B63" s="22" t="s">
        <v>221</v>
      </c>
      <c r="C63" s="4">
        <f>VLOOKUP(B63,'[2]harga obat'!B$5:K$71,10,FALSE)</f>
        <v>11741.616</v>
      </c>
      <c r="D63" s="25">
        <v>12000</v>
      </c>
    </row>
    <row r="64" spans="1:7" x14ac:dyDescent="0.25">
      <c r="A64" s="10">
        <f t="shared" si="0"/>
        <v>61</v>
      </c>
      <c r="B64" s="22" t="s">
        <v>222</v>
      </c>
      <c r="C64" s="4">
        <f>VLOOKUP(B64,'[2]harga obat'!B$5:K$71,10,FALSE)</f>
        <v>11741.616</v>
      </c>
      <c r="D64" s="25">
        <v>12000</v>
      </c>
    </row>
    <row r="65" spans="1:4" x14ac:dyDescent="0.25">
      <c r="A65" s="10">
        <f t="shared" si="0"/>
        <v>62</v>
      </c>
      <c r="B65" s="22" t="s">
        <v>227</v>
      </c>
      <c r="C65" s="4" t="e">
        <f>VLOOKUP(B65,'[2]harga obat'!B$79:J$110,9,FALSE)</f>
        <v>#N/A</v>
      </c>
      <c r="D65" s="25">
        <v>5500</v>
      </c>
    </row>
    <row r="66" spans="1:4" x14ac:dyDescent="0.25">
      <c r="A66" s="10">
        <f t="shared" si="0"/>
        <v>63</v>
      </c>
      <c r="B66" s="22" t="s">
        <v>229</v>
      </c>
      <c r="C66" s="4">
        <f>VLOOKUP(B66,'[2]harga obat'!B$79:J$110,9,FALSE)</f>
        <v>6885</v>
      </c>
      <c r="D66" s="25">
        <v>7000</v>
      </c>
    </row>
    <row r="67" spans="1:4" x14ac:dyDescent="0.25">
      <c r="A67" s="10">
        <f t="shared" si="0"/>
        <v>64</v>
      </c>
      <c r="B67" s="22" t="s">
        <v>230</v>
      </c>
      <c r="C67" s="4" t="e">
        <f>VLOOKUP(B67,'[2]harga obat'!B$79:J$110,9,FALSE)</f>
        <v>#N/A</v>
      </c>
      <c r="D67" s="25">
        <v>3000</v>
      </c>
    </row>
    <row r="68" spans="1:4" x14ac:dyDescent="0.25">
      <c r="A68" s="10">
        <f t="shared" si="0"/>
        <v>65</v>
      </c>
      <c r="B68" s="22" t="s">
        <v>231</v>
      </c>
      <c r="C68" s="4" t="e">
        <f>VLOOKUP(B68,'[2]harga obat'!B$79:J$110,9,FALSE)</f>
        <v>#N/A</v>
      </c>
      <c r="D68" s="25">
        <v>32000</v>
      </c>
    </row>
    <row r="69" spans="1:4" x14ac:dyDescent="0.25">
      <c r="A69" s="10">
        <f t="shared" si="0"/>
        <v>66</v>
      </c>
      <c r="B69" s="22" t="s">
        <v>232</v>
      </c>
      <c r="C69" s="4" t="e">
        <f>VLOOKUP(B69,'[2]harga obat'!B$79:J$110,9,FALSE)</f>
        <v>#N/A</v>
      </c>
      <c r="D69" s="25">
        <v>45000</v>
      </c>
    </row>
    <row r="70" spans="1:4" x14ac:dyDescent="0.25">
      <c r="A70" s="10">
        <f t="shared" si="0"/>
        <v>67</v>
      </c>
      <c r="B70" s="22" t="s">
        <v>236</v>
      </c>
      <c r="C70" s="4">
        <f>VLOOKUP(B70,'[2]harga obat'!B$5:K$71,10,FALSE)</f>
        <v>13321.655999999999</v>
      </c>
      <c r="D70" s="25">
        <v>15000</v>
      </c>
    </row>
    <row r="71" spans="1:4" x14ac:dyDescent="0.25">
      <c r="A71" s="10">
        <f t="shared" si="0"/>
        <v>68</v>
      </c>
      <c r="B71" s="22" t="s">
        <v>244</v>
      </c>
      <c r="C71" s="4">
        <f>VLOOKUP(B71,'[2]harga obat'!B$5:K$71,10,FALSE)</f>
        <v>4202.9691428571423</v>
      </c>
      <c r="D71" s="25">
        <v>4500</v>
      </c>
    </row>
    <row r="72" spans="1:4" x14ac:dyDescent="0.25">
      <c r="A72" s="10">
        <f t="shared" si="0"/>
        <v>69</v>
      </c>
      <c r="B72" s="22" t="s">
        <v>241</v>
      </c>
      <c r="C72" s="4">
        <f>VLOOKUP(B72,'[2]harga obat'!B$5:K$71,10,FALSE)</f>
        <v>8603.3999999999978</v>
      </c>
      <c r="D72" s="25">
        <v>9000</v>
      </c>
    </row>
    <row r="73" spans="1:4" x14ac:dyDescent="0.25">
      <c r="A73" s="10">
        <f t="shared" si="0"/>
        <v>70</v>
      </c>
      <c r="B73" s="22" t="s">
        <v>242</v>
      </c>
      <c r="C73" s="4">
        <f>VLOOKUP(B73,'[2]harga obat'!B$5:K$71,10,FALSE)</f>
        <v>7168.2171428571437</v>
      </c>
      <c r="D73" s="25">
        <v>8000</v>
      </c>
    </row>
    <row r="74" spans="1:4" x14ac:dyDescent="0.25">
      <c r="A74" s="10">
        <f t="shared" si="0"/>
        <v>71</v>
      </c>
      <c r="B74" s="22" t="s">
        <v>243</v>
      </c>
      <c r="C74" s="4">
        <f>VLOOKUP(B74,'[2]harga obat'!B$5:K$71,10,FALSE)</f>
        <v>12907.103999999999</v>
      </c>
      <c r="D74" s="25">
        <v>14000</v>
      </c>
    </row>
    <row r="75" spans="1:4" x14ac:dyDescent="0.25">
      <c r="A75" s="10">
        <f t="shared" si="0"/>
        <v>72</v>
      </c>
      <c r="B75" s="22" t="s">
        <v>250</v>
      </c>
      <c r="C75" s="4">
        <f>VLOOKUP(B75,'[2]harga obat'!B$72:K$73,10,FALSE)</f>
        <v>3972.192</v>
      </c>
      <c r="D75" s="25">
        <v>5000</v>
      </c>
    </row>
    <row r="76" spans="1:4" x14ac:dyDescent="0.25">
      <c r="A76" s="10">
        <f>A75+1</f>
        <v>73</v>
      </c>
      <c r="B76" s="22" t="s">
        <v>251</v>
      </c>
      <c r="C76" s="4">
        <f>VLOOKUP(B76,'[2]harga obat'!B$72:K$73,10,FALSE)</f>
        <v>3904.2719999999999</v>
      </c>
      <c r="D76" s="25">
        <v>5000</v>
      </c>
    </row>
    <row r="77" spans="1:4" x14ac:dyDescent="0.25">
      <c r="A77" s="10">
        <f>A76+1</f>
        <v>74</v>
      </c>
      <c r="B77" s="22" t="s">
        <v>253</v>
      </c>
      <c r="C77" s="4">
        <f>VLOOKUP(B77,'[2]harga obat'!B$5:K$139,10,FALSE)</f>
        <v>7056</v>
      </c>
      <c r="D77" s="25">
        <v>7000</v>
      </c>
    </row>
    <row r="78" spans="1:4" x14ac:dyDescent="0.25">
      <c r="A78" s="10">
        <f>A77+1</f>
        <v>75</v>
      </c>
      <c r="B78" s="22" t="s">
        <v>277</v>
      </c>
      <c r="C78" s="4">
        <f>VLOOKUP(B78,'[2]harga obat'!B$5:K$78,10,FALSE)</f>
        <v>7064.927999999999</v>
      </c>
      <c r="D78" s="25">
        <v>7500</v>
      </c>
    </row>
    <row r="79" spans="1:4" x14ac:dyDescent="0.25">
      <c r="A79" s="10">
        <f t="shared" ref="A79:A81" si="1">A78+1</f>
        <v>76</v>
      </c>
      <c r="B79" s="22" t="s">
        <v>278</v>
      </c>
      <c r="C79" s="4">
        <f>VLOOKUP(B79,'[2]harga obat'!B$5:K$78,10,FALSE)</f>
        <v>6192</v>
      </c>
      <c r="D79" s="25">
        <v>7000</v>
      </c>
    </row>
    <row r="80" spans="1:4" x14ac:dyDescent="0.25">
      <c r="A80" s="10">
        <f t="shared" si="1"/>
        <v>77</v>
      </c>
      <c r="B80" s="22" t="s">
        <v>262</v>
      </c>
      <c r="C80" s="4">
        <f>VLOOKUP(B80,'[2]harga obat'!B$5:K$78,10,FALSE)</f>
        <v>31680</v>
      </c>
      <c r="D80" s="25">
        <v>35000</v>
      </c>
    </row>
    <row r="81" spans="1:4" x14ac:dyDescent="0.25">
      <c r="A81" s="10">
        <f t="shared" si="1"/>
        <v>78</v>
      </c>
      <c r="B81" s="22" t="s">
        <v>276</v>
      </c>
      <c r="C81" s="4">
        <f>VLOOKUP(B81,'[2]harga obat'!$B$79:$K$79,10,FALSE)</f>
        <v>10325.664000000001</v>
      </c>
      <c r="D81" s="25">
        <v>11000</v>
      </c>
    </row>
    <row r="82" spans="1:4" x14ac:dyDescent="0.25">
      <c r="A82" s="10">
        <f t="shared" ref="A82:A83" si="2">A81+1</f>
        <v>79</v>
      </c>
      <c r="B82" s="26" t="s">
        <v>275</v>
      </c>
      <c r="C82" s="4">
        <f>VLOOKUP(B82,'[2]harga obat'!B$79:J$110,9,FALSE)</f>
        <v>89100</v>
      </c>
      <c r="D82" s="36">
        <v>90000</v>
      </c>
    </row>
    <row r="83" spans="1:4" x14ac:dyDescent="0.25">
      <c r="A83" s="10">
        <f t="shared" si="2"/>
        <v>80</v>
      </c>
      <c r="B83" s="26" t="s">
        <v>154</v>
      </c>
      <c r="C83" s="4">
        <f>VLOOKUP(B83,'[2]harga obat'!B$79:J$110,9,FALSE)</f>
        <v>41058.9</v>
      </c>
      <c r="D83" s="36">
        <v>45000</v>
      </c>
    </row>
    <row r="84" spans="1:4" x14ac:dyDescent="0.25">
      <c r="A84" s="10">
        <f t="shared" si="0"/>
        <v>81</v>
      </c>
      <c r="B84" s="26" t="s">
        <v>155</v>
      </c>
      <c r="C84" s="4">
        <f>VLOOKUP(B84,'[2]harga obat'!B$79:J$110,9,FALSE)</f>
        <v>8091.9</v>
      </c>
      <c r="D84" s="36">
        <v>10000</v>
      </c>
    </row>
    <row r="85" spans="1:4" x14ac:dyDescent="0.25">
      <c r="A85" s="10">
        <f t="shared" si="0"/>
        <v>82</v>
      </c>
      <c r="B85" s="26" t="s">
        <v>156</v>
      </c>
      <c r="C85" s="4">
        <f>VLOOKUP(B85,'[2]harga obat'!B$79:J$110,9,FALSE)</f>
        <v>18881.099999999999</v>
      </c>
      <c r="D85" s="36">
        <v>20000</v>
      </c>
    </row>
    <row r="86" spans="1:4" x14ac:dyDescent="0.25">
      <c r="A86" s="10">
        <f t="shared" si="0"/>
        <v>83</v>
      </c>
      <c r="B86" s="26" t="s">
        <v>158</v>
      </c>
      <c r="C86" s="4">
        <v>0</v>
      </c>
      <c r="D86" s="36">
        <v>5000</v>
      </c>
    </row>
    <row r="87" spans="1:4" x14ac:dyDescent="0.25">
      <c r="A87" s="10">
        <f t="shared" si="0"/>
        <v>84</v>
      </c>
      <c r="B87" s="26" t="s">
        <v>165</v>
      </c>
      <c r="C87" s="4">
        <f>VLOOKUP(B87,'[2]harga obat'!B$79:J$110,9,FALSE)</f>
        <v>1888.48</v>
      </c>
      <c r="D87" s="36">
        <v>2000</v>
      </c>
    </row>
    <row r="88" spans="1:4" x14ac:dyDescent="0.25">
      <c r="A88" s="10">
        <f t="shared" si="0"/>
        <v>85</v>
      </c>
      <c r="B88" s="26" t="s">
        <v>166</v>
      </c>
      <c r="C88" s="4">
        <f>VLOOKUP(B88,'[2]harga obat'!B$79:J$110,9,FALSE)</f>
        <v>12480.44</v>
      </c>
      <c r="D88" s="36">
        <v>13000</v>
      </c>
    </row>
    <row r="89" spans="1:4" x14ac:dyDescent="0.25">
      <c r="A89" s="10">
        <f t="shared" si="0"/>
        <v>86</v>
      </c>
      <c r="B89" s="26" t="s">
        <v>174</v>
      </c>
      <c r="C89" s="4">
        <f>VLOOKUP(B89,'[2]harga obat'!B$79:J$110,9,FALSE)</f>
        <v>15857.099999999999</v>
      </c>
      <c r="D89" s="36">
        <v>20000</v>
      </c>
    </row>
    <row r="90" spans="1:4" x14ac:dyDescent="0.25">
      <c r="A90" s="10">
        <f t="shared" si="0"/>
        <v>87</v>
      </c>
      <c r="B90" s="26" t="s">
        <v>175</v>
      </c>
      <c r="C90" s="4">
        <v>0</v>
      </c>
      <c r="D90" s="36">
        <v>260000</v>
      </c>
    </row>
    <row r="91" spans="1:4" x14ac:dyDescent="0.25">
      <c r="A91" s="10">
        <f t="shared" si="0"/>
        <v>88</v>
      </c>
      <c r="B91" s="26" t="s">
        <v>176</v>
      </c>
      <c r="C91" s="4">
        <v>0</v>
      </c>
      <c r="D91" s="36">
        <v>300000</v>
      </c>
    </row>
    <row r="92" spans="1:4" x14ac:dyDescent="0.25">
      <c r="A92" s="10">
        <f t="shared" si="0"/>
        <v>89</v>
      </c>
      <c r="B92" s="26" t="s">
        <v>177</v>
      </c>
      <c r="C92" s="4">
        <v>0</v>
      </c>
      <c r="D92" s="36">
        <v>10000</v>
      </c>
    </row>
    <row r="93" spans="1:4" x14ac:dyDescent="0.25">
      <c r="A93" s="10">
        <f t="shared" si="0"/>
        <v>90</v>
      </c>
      <c r="B93" s="26" t="s">
        <v>184</v>
      </c>
      <c r="C93" s="4">
        <f>VLOOKUP(B93,'[2]harga obat'!B$79:J$110,9,FALSE)</f>
        <v>4185</v>
      </c>
      <c r="D93" s="36">
        <v>4500</v>
      </c>
    </row>
    <row r="94" spans="1:4" x14ac:dyDescent="0.25">
      <c r="A94" s="10">
        <f t="shared" si="0"/>
        <v>91</v>
      </c>
      <c r="B94" s="26" t="s">
        <v>187</v>
      </c>
      <c r="C94" s="4">
        <f>VLOOKUP(B94,'[2]harga obat'!B$79:J$110,9,FALSE)</f>
        <v>2160</v>
      </c>
      <c r="D94" s="36">
        <v>2200</v>
      </c>
    </row>
    <row r="95" spans="1:4" x14ac:dyDescent="0.25">
      <c r="A95" s="10">
        <f t="shared" si="0"/>
        <v>92</v>
      </c>
      <c r="B95" s="26" t="s">
        <v>193</v>
      </c>
      <c r="C95" s="4">
        <f>VLOOKUP(B95,'[2]harga obat'!B$79:J$110,9,FALSE)</f>
        <v>37312.65</v>
      </c>
      <c r="D95" s="36">
        <v>38000</v>
      </c>
    </row>
    <row r="96" spans="1:4" x14ac:dyDescent="0.25">
      <c r="A96" s="10">
        <f t="shared" si="0"/>
        <v>93</v>
      </c>
      <c r="B96" s="26" t="s">
        <v>198</v>
      </c>
      <c r="C96" s="4">
        <f>VLOOKUP(B96,'[2]harga obat'!B$79:J$110,9,FALSE)</f>
        <v>1701</v>
      </c>
      <c r="D96" s="36">
        <v>2000</v>
      </c>
    </row>
    <row r="97" spans="1:4" x14ac:dyDescent="0.25">
      <c r="A97" s="10">
        <f t="shared" si="0"/>
        <v>94</v>
      </c>
      <c r="B97" s="26" t="s">
        <v>199</v>
      </c>
      <c r="C97" s="4">
        <f>VLOOKUP(B97,'[2]harga obat'!B$5:K$71,10,FALSE)</f>
        <v>576</v>
      </c>
      <c r="D97" s="36">
        <v>1000</v>
      </c>
    </row>
    <row r="98" spans="1:4" x14ac:dyDescent="0.25">
      <c r="A98" s="10">
        <f t="shared" si="0"/>
        <v>95</v>
      </c>
      <c r="B98" s="26" t="s">
        <v>220</v>
      </c>
      <c r="C98" s="4">
        <f>VLOOKUP(B98,'[2]harga obat'!B$5:K$139,10,FALSE)</f>
        <v>1890000</v>
      </c>
      <c r="D98" s="36">
        <v>2500000</v>
      </c>
    </row>
    <row r="99" spans="1:4" x14ac:dyDescent="0.25">
      <c r="A99" s="10">
        <f t="shared" si="0"/>
        <v>96</v>
      </c>
      <c r="B99" s="26" t="s">
        <v>223</v>
      </c>
      <c r="C99" s="4">
        <f>VLOOKUP(B99,'[2]harga obat'!B$5:K$139,10,FALSE)</f>
        <v>540</v>
      </c>
      <c r="D99" s="36">
        <v>3000</v>
      </c>
    </row>
    <row r="100" spans="1:4" x14ac:dyDescent="0.25">
      <c r="A100" s="10">
        <f t="shared" si="0"/>
        <v>97</v>
      </c>
      <c r="B100" s="26" t="s">
        <v>226</v>
      </c>
      <c r="C100" s="4">
        <f>VLOOKUP(B100,'[2]harga obat'!B$5:K$139,10,FALSE)</f>
        <v>298900.8</v>
      </c>
      <c r="D100" s="36">
        <v>300000</v>
      </c>
    </row>
    <row r="101" spans="1:4" x14ac:dyDescent="0.25">
      <c r="A101" s="10">
        <f t="shared" si="0"/>
        <v>98</v>
      </c>
      <c r="B101" s="26" t="s">
        <v>227</v>
      </c>
      <c r="C101" s="4">
        <f>VLOOKUP(B101,'[2]harga obat'!B$5:K$139,10,FALSE)</f>
        <v>7290</v>
      </c>
      <c r="D101" s="36">
        <v>8000</v>
      </c>
    </row>
    <row r="102" spans="1:4" x14ac:dyDescent="0.25">
      <c r="A102" s="10">
        <f t="shared" si="0"/>
        <v>99</v>
      </c>
      <c r="B102" s="26" t="s">
        <v>245</v>
      </c>
      <c r="C102" s="4">
        <f>VLOOKUP(B102,'[2]harga obat'!B$5:K$139,10,FALSE)</f>
        <v>145800</v>
      </c>
      <c r="D102" s="36">
        <v>150000</v>
      </c>
    </row>
    <row r="103" spans="1:4" x14ac:dyDescent="0.25">
      <c r="A103" s="10">
        <f t="shared" si="0"/>
        <v>100</v>
      </c>
      <c r="B103" s="26" t="s">
        <v>246</v>
      </c>
      <c r="C103" s="4">
        <f>VLOOKUP(B103,'[2]harga obat'!B$5:K$139,10,FALSE)</f>
        <v>143712</v>
      </c>
      <c r="D103" s="36">
        <v>150000</v>
      </c>
    </row>
    <row r="104" spans="1:4" x14ac:dyDescent="0.25">
      <c r="A104" s="10">
        <f t="shared" si="0"/>
        <v>101</v>
      </c>
      <c r="B104" s="26" t="s">
        <v>259</v>
      </c>
      <c r="C104" s="4" t="e">
        <f>VLOOKUP(B104,'[2]harga obat'!B$5:K$139,10,FALSE)</f>
        <v>#N/A</v>
      </c>
      <c r="D104" s="36">
        <v>22000</v>
      </c>
    </row>
    <row r="105" spans="1:4" x14ac:dyDescent="0.25">
      <c r="A105" s="10">
        <f t="shared" si="0"/>
        <v>102</v>
      </c>
      <c r="B105" s="26" t="s">
        <v>261</v>
      </c>
      <c r="C105" s="4" t="e">
        <f>VLOOKUP(B105,'[2]harga obat'!B$5:K$139,10,FALSE)</f>
        <v>#N/A</v>
      </c>
      <c r="D105" s="36">
        <v>58000</v>
      </c>
    </row>
    <row r="106" spans="1:4" x14ac:dyDescent="0.25">
      <c r="A106" s="10">
        <f t="shared" si="0"/>
        <v>103</v>
      </c>
      <c r="B106" s="26" t="s">
        <v>282</v>
      </c>
      <c r="C106" s="4">
        <f>VLOOKUP(B106,'[2]harga obat'!B$5:K$139,10,FALSE)</f>
        <v>1080</v>
      </c>
      <c r="D106" s="36">
        <v>1500</v>
      </c>
    </row>
    <row r="107" spans="1:4" x14ac:dyDescent="0.25">
      <c r="A107" s="10">
        <f t="shared" si="0"/>
        <v>104</v>
      </c>
      <c r="B107" s="26" t="s">
        <v>283</v>
      </c>
      <c r="C107" s="4">
        <f>VLOOKUP(B107,'[2]harga obat'!B$5:K$139,10,FALSE)</f>
        <v>675</v>
      </c>
      <c r="D107" s="36">
        <v>1000</v>
      </c>
    </row>
    <row r="108" spans="1:4" x14ac:dyDescent="0.25">
      <c r="A108" s="10">
        <f t="shared" si="0"/>
        <v>105</v>
      </c>
      <c r="B108" s="26" t="s">
        <v>263</v>
      </c>
      <c r="C108" s="4">
        <f>VLOOKUP(B108,'[2]harga obat'!B$5:K$139,10,FALSE)</f>
        <v>2160</v>
      </c>
      <c r="D108" s="36">
        <v>3000</v>
      </c>
    </row>
    <row r="109" spans="1:4" x14ac:dyDescent="0.25">
      <c r="A109" s="10">
        <f t="shared" si="0"/>
        <v>106</v>
      </c>
      <c r="B109" s="26" t="s">
        <v>264</v>
      </c>
      <c r="C109" s="4">
        <f>VLOOKUP(B109,'[2]harga obat'!B$5:K$139,10,FALSE)</f>
        <v>30510</v>
      </c>
      <c r="D109" s="36">
        <v>31000</v>
      </c>
    </row>
    <row r="110" spans="1:4" x14ac:dyDescent="0.25">
      <c r="A110" s="10">
        <f t="shared" si="0"/>
        <v>107</v>
      </c>
      <c r="B110" s="26" t="s">
        <v>265</v>
      </c>
      <c r="C110" s="4">
        <f>VLOOKUP(B110,'[2]harga obat'!B$5:K$139,10,FALSE)</f>
        <v>110295</v>
      </c>
      <c r="D110" s="36">
        <v>112000</v>
      </c>
    </row>
    <row r="111" spans="1:4" x14ac:dyDescent="0.25">
      <c r="A111" s="10">
        <f t="shared" si="0"/>
        <v>108</v>
      </c>
      <c r="B111" s="26" t="s">
        <v>266</v>
      </c>
      <c r="C111" s="4">
        <f>VLOOKUP(B111,'[2]harga obat'!B$5:K$139,10,FALSE)</f>
        <v>38745</v>
      </c>
      <c r="D111" s="36">
        <v>40000</v>
      </c>
    </row>
    <row r="112" spans="1:4" x14ac:dyDescent="0.25">
      <c r="A112" s="10">
        <f t="shared" si="0"/>
        <v>109</v>
      </c>
      <c r="B112" s="26" t="s">
        <v>267</v>
      </c>
      <c r="C112" s="4">
        <f>VLOOKUP(B112,'[2]harga obat'!B$5:K$139,10,FALSE)</f>
        <v>103410</v>
      </c>
      <c r="D112" s="36">
        <v>105000</v>
      </c>
    </row>
    <row r="113" spans="1:5" x14ac:dyDescent="0.25">
      <c r="A113" s="10">
        <f t="shared" si="0"/>
        <v>110</v>
      </c>
      <c r="B113" s="26" t="s">
        <v>268</v>
      </c>
      <c r="C113" s="4">
        <f>VLOOKUP(B113,'[2]harga obat'!B$5:K$139,10,FALSE)</f>
        <v>1080</v>
      </c>
      <c r="D113" s="36">
        <v>1200</v>
      </c>
    </row>
    <row r="114" spans="1:5" x14ac:dyDescent="0.25">
      <c r="A114" s="10">
        <f t="shared" si="0"/>
        <v>111</v>
      </c>
      <c r="B114" s="26" t="s">
        <v>269</v>
      </c>
      <c r="C114" s="4">
        <f>VLOOKUP(B114,'[2]harga obat'!B$5:K$139,10,FALSE)</f>
        <v>18765</v>
      </c>
      <c r="D114" s="36">
        <v>20000</v>
      </c>
    </row>
    <row r="115" spans="1:5" x14ac:dyDescent="0.25">
      <c r="A115" s="10">
        <f t="shared" si="0"/>
        <v>112</v>
      </c>
      <c r="B115" s="26" t="s">
        <v>279</v>
      </c>
      <c r="C115" s="4" t="e">
        <f>VLOOKUP(B115,'[2]harga obat'!B$5:K$139,10,FALSE)</f>
        <v>#N/A</v>
      </c>
      <c r="D115" s="36">
        <v>15000</v>
      </c>
    </row>
    <row r="116" spans="1:5" x14ac:dyDescent="0.25">
      <c r="A116" s="10">
        <f t="shared" si="0"/>
        <v>113</v>
      </c>
      <c r="B116" s="26" t="s">
        <v>270</v>
      </c>
      <c r="C116" s="4">
        <f>VLOOKUP(B116,'[2]harga obat'!B$5:K$139,10,FALSE)</f>
        <v>1957.5</v>
      </c>
      <c r="D116" s="36">
        <v>2000</v>
      </c>
    </row>
    <row r="117" spans="1:5" x14ac:dyDescent="0.25">
      <c r="A117" s="10">
        <f t="shared" si="0"/>
        <v>114</v>
      </c>
      <c r="B117" s="26" t="s">
        <v>281</v>
      </c>
      <c r="C117" s="4">
        <f>VLOOKUP(B117,'[2]harga obat'!B$5:K$139,10,FALSE)</f>
        <v>32879.519999999997</v>
      </c>
      <c r="D117" s="36">
        <v>35000</v>
      </c>
    </row>
    <row r="118" spans="1:5" x14ac:dyDescent="0.25">
      <c r="A118" s="10">
        <f t="shared" si="0"/>
        <v>115</v>
      </c>
      <c r="B118" s="26" t="s">
        <v>285</v>
      </c>
      <c r="C118" s="4"/>
      <c r="D118" s="36">
        <v>25000</v>
      </c>
    </row>
    <row r="119" spans="1:5" x14ac:dyDescent="0.25">
      <c r="A119" s="10">
        <f>A117+1</f>
        <v>115</v>
      </c>
      <c r="B119" s="26" t="s">
        <v>280</v>
      </c>
      <c r="C119" s="4" t="e">
        <f>VLOOKUP(B119,'[2]harga obat'!B$5:K$139,10,FALSE)</f>
        <v>#N/A</v>
      </c>
      <c r="D119" s="36">
        <v>20000</v>
      </c>
    </row>
    <row r="120" spans="1:5" x14ac:dyDescent="0.25">
      <c r="A120" s="10">
        <f t="shared" si="0"/>
        <v>116</v>
      </c>
      <c r="B120" s="22" t="s">
        <v>6</v>
      </c>
      <c r="C120" s="25">
        <v>120000</v>
      </c>
      <c r="D120" s="25">
        <v>120000</v>
      </c>
    </row>
    <row r="121" spans="1:5" x14ac:dyDescent="0.25">
      <c r="A121" s="10">
        <f t="shared" si="0"/>
        <v>117</v>
      </c>
      <c r="B121" s="22" t="s">
        <v>7</v>
      </c>
      <c r="C121" s="25">
        <v>80000</v>
      </c>
      <c r="D121" s="25">
        <v>80000</v>
      </c>
    </row>
    <row r="122" spans="1:5" x14ac:dyDescent="0.25">
      <c r="A122" s="10">
        <f t="shared" si="0"/>
        <v>118</v>
      </c>
      <c r="B122" s="22" t="s">
        <v>101</v>
      </c>
      <c r="C122" s="25">
        <v>105000</v>
      </c>
      <c r="D122" s="25">
        <v>105000</v>
      </c>
    </row>
    <row r="123" spans="1:5" x14ac:dyDescent="0.25">
      <c r="A123" s="10">
        <f>A122+1</f>
        <v>119</v>
      </c>
      <c r="B123" s="22" t="s">
        <v>46</v>
      </c>
      <c r="C123" s="25">
        <v>105000</v>
      </c>
      <c r="D123" s="25">
        <v>105000</v>
      </c>
    </row>
    <row r="124" spans="1:5" x14ac:dyDescent="0.25">
      <c r="A124" s="10">
        <f t="shared" ref="A124:A187" si="3">A123+1</f>
        <v>120</v>
      </c>
      <c r="B124" s="22" t="s">
        <v>49</v>
      </c>
      <c r="C124" s="25">
        <v>600000</v>
      </c>
      <c r="D124" s="25">
        <v>600000</v>
      </c>
      <c r="E124" s="51"/>
    </row>
    <row r="125" spans="1:5" x14ac:dyDescent="0.25">
      <c r="A125" s="10">
        <f t="shared" si="3"/>
        <v>121</v>
      </c>
      <c r="B125" s="22" t="s">
        <v>70</v>
      </c>
      <c r="C125" s="25">
        <v>170000</v>
      </c>
      <c r="D125" s="25">
        <v>170000</v>
      </c>
    </row>
    <row r="126" spans="1:5" x14ac:dyDescent="0.25">
      <c r="A126" s="10">
        <f t="shared" si="3"/>
        <v>122</v>
      </c>
      <c r="B126" s="22" t="s">
        <v>71</v>
      </c>
      <c r="C126" s="25">
        <v>120000</v>
      </c>
      <c r="D126" s="25">
        <v>120000</v>
      </c>
    </row>
    <row r="127" spans="1:5" x14ac:dyDescent="0.25">
      <c r="A127" s="10">
        <f t="shared" si="3"/>
        <v>123</v>
      </c>
      <c r="B127" s="22" t="s">
        <v>72</v>
      </c>
      <c r="C127" s="25">
        <v>35000</v>
      </c>
      <c r="D127" s="25">
        <v>35000</v>
      </c>
    </row>
    <row r="128" spans="1:5" x14ac:dyDescent="0.25">
      <c r="A128" s="10">
        <f t="shared" si="3"/>
        <v>124</v>
      </c>
      <c r="B128" s="22" t="s">
        <v>167</v>
      </c>
      <c r="C128" s="25">
        <v>135000</v>
      </c>
      <c r="D128" s="25">
        <v>135000</v>
      </c>
    </row>
    <row r="129" spans="1:4" x14ac:dyDescent="0.25">
      <c r="A129" s="10">
        <f t="shared" si="3"/>
        <v>125</v>
      </c>
      <c r="B129" s="22" t="s">
        <v>81</v>
      </c>
      <c r="C129" s="25">
        <v>74000</v>
      </c>
      <c r="D129" s="25">
        <v>74000</v>
      </c>
    </row>
    <row r="130" spans="1:4" x14ac:dyDescent="0.25">
      <c r="A130" s="10">
        <f t="shared" si="3"/>
        <v>126</v>
      </c>
      <c r="B130" s="22" t="s">
        <v>82</v>
      </c>
      <c r="C130" s="25">
        <v>50000</v>
      </c>
      <c r="D130" s="25">
        <v>55000</v>
      </c>
    </row>
    <row r="131" spans="1:4" x14ac:dyDescent="0.25">
      <c r="A131" s="10">
        <f t="shared" si="3"/>
        <v>127</v>
      </c>
      <c r="B131" s="22" t="s">
        <v>97</v>
      </c>
      <c r="C131" s="25">
        <v>275000</v>
      </c>
      <c r="D131" s="25">
        <v>275000</v>
      </c>
    </row>
    <row r="132" spans="1:4" x14ac:dyDescent="0.25">
      <c r="A132" s="10">
        <f t="shared" si="3"/>
        <v>128</v>
      </c>
      <c r="B132" s="22" t="s">
        <v>98</v>
      </c>
      <c r="C132" s="25">
        <v>450000</v>
      </c>
      <c r="D132" s="25">
        <v>450000</v>
      </c>
    </row>
    <row r="133" spans="1:4" x14ac:dyDescent="0.25">
      <c r="A133" s="10">
        <f t="shared" si="3"/>
        <v>129</v>
      </c>
      <c r="B133" s="22" t="s">
        <v>99</v>
      </c>
      <c r="C133" s="25">
        <v>450000</v>
      </c>
      <c r="D133" s="25">
        <v>450000</v>
      </c>
    </row>
    <row r="134" spans="1:4" x14ac:dyDescent="0.25">
      <c r="A134" s="10">
        <f t="shared" si="3"/>
        <v>130</v>
      </c>
      <c r="B134" s="22" t="s">
        <v>93</v>
      </c>
      <c r="C134" s="25">
        <v>5000</v>
      </c>
      <c r="D134" s="25">
        <v>10000</v>
      </c>
    </row>
    <row r="135" spans="1:4" x14ac:dyDescent="0.25">
      <c r="A135" s="10">
        <f t="shared" si="3"/>
        <v>131</v>
      </c>
      <c r="B135" s="22" t="s">
        <v>78</v>
      </c>
      <c r="C135" s="25">
        <v>10000</v>
      </c>
      <c r="D135" s="34">
        <v>10000</v>
      </c>
    </row>
    <row r="136" spans="1:4" x14ac:dyDescent="0.25">
      <c r="A136" s="10">
        <f t="shared" si="3"/>
        <v>132</v>
      </c>
      <c r="B136" s="22" t="s">
        <v>79</v>
      </c>
      <c r="C136" s="25">
        <v>10000</v>
      </c>
      <c r="D136" s="34">
        <v>10000</v>
      </c>
    </row>
    <row r="137" spans="1:4" x14ac:dyDescent="0.25">
      <c r="A137" s="10">
        <f t="shared" si="3"/>
        <v>133</v>
      </c>
      <c r="B137" s="22" t="s">
        <v>80</v>
      </c>
      <c r="C137" s="25">
        <v>10000</v>
      </c>
      <c r="D137" s="34">
        <v>10000</v>
      </c>
    </row>
    <row r="138" spans="1:4" x14ac:dyDescent="0.25">
      <c r="A138" s="10">
        <f t="shared" si="3"/>
        <v>134</v>
      </c>
      <c r="B138" s="22" t="s">
        <v>86</v>
      </c>
      <c r="C138" s="25">
        <v>5000</v>
      </c>
      <c r="D138" s="34">
        <v>5000</v>
      </c>
    </row>
    <row r="139" spans="1:4" x14ac:dyDescent="0.25">
      <c r="A139" s="10">
        <f t="shared" si="3"/>
        <v>135</v>
      </c>
      <c r="B139" s="22" t="s">
        <v>274</v>
      </c>
      <c r="C139" s="25">
        <v>5000</v>
      </c>
      <c r="D139" s="34">
        <v>5000</v>
      </c>
    </row>
    <row r="140" spans="1:4" x14ac:dyDescent="0.25">
      <c r="A140" s="10">
        <f>A138+1</f>
        <v>135</v>
      </c>
      <c r="B140" s="22" t="s">
        <v>100</v>
      </c>
      <c r="C140" s="25">
        <v>22000</v>
      </c>
      <c r="D140" s="34">
        <v>22000</v>
      </c>
    </row>
    <row r="141" spans="1:4" x14ac:dyDescent="0.25">
      <c r="A141" s="10">
        <f t="shared" si="3"/>
        <v>136</v>
      </c>
      <c r="B141" s="22" t="s">
        <v>114</v>
      </c>
      <c r="C141" s="25">
        <f>VLOOKUP(B141,'[3]harga non obat'!B$4:K$44,10,FALSE)</f>
        <v>521.6</v>
      </c>
      <c r="D141" s="34">
        <v>1000</v>
      </c>
    </row>
    <row r="142" spans="1:4" x14ac:dyDescent="0.25">
      <c r="A142" s="10">
        <f t="shared" si="3"/>
        <v>137</v>
      </c>
      <c r="B142" s="22" t="s">
        <v>115</v>
      </c>
      <c r="C142" s="25">
        <f>VLOOKUP(B142,'[3]harga non obat'!B$4:K$44,10,FALSE)</f>
        <v>749.8</v>
      </c>
      <c r="D142" s="34">
        <v>1500</v>
      </c>
    </row>
    <row r="143" spans="1:4" x14ac:dyDescent="0.25">
      <c r="A143" s="10">
        <f t="shared" si="3"/>
        <v>138</v>
      </c>
      <c r="B143" s="22" t="s">
        <v>116</v>
      </c>
      <c r="C143" s="25">
        <f>VLOOKUP(B143,'[3]harga non obat'!B$4:K$44,10,FALSE)</f>
        <v>53790</v>
      </c>
      <c r="D143" s="34">
        <v>54000</v>
      </c>
    </row>
    <row r="144" spans="1:4" x14ac:dyDescent="0.25">
      <c r="A144" s="10">
        <f t="shared" si="3"/>
        <v>139</v>
      </c>
      <c r="B144" s="22" t="s">
        <v>117</v>
      </c>
      <c r="C144" s="25">
        <f>VLOOKUP(B144,'[3]harga non obat'!B$4:K$44,10,FALSE)</f>
        <v>29340</v>
      </c>
      <c r="D144" s="34">
        <v>30000</v>
      </c>
    </row>
    <row r="145" spans="1:4" x14ac:dyDescent="0.25">
      <c r="A145" s="10">
        <f t="shared" si="3"/>
        <v>140</v>
      </c>
      <c r="B145" s="22" t="s">
        <v>118</v>
      </c>
      <c r="C145" s="25">
        <f>VLOOKUP(B145,'[3]harga non obat'!B$4:K$44,10,FALSE)</f>
        <v>21190</v>
      </c>
      <c r="D145" s="34">
        <v>22000</v>
      </c>
    </row>
    <row r="146" spans="1:4" x14ac:dyDescent="0.25">
      <c r="A146" s="10">
        <f t="shared" si="3"/>
        <v>141</v>
      </c>
      <c r="B146" s="22" t="s">
        <v>119</v>
      </c>
      <c r="C146" s="25">
        <f>VLOOKUP(B146,'[3]harga non obat'!B$4:K$44,10,FALSE)</f>
        <v>2934</v>
      </c>
      <c r="D146" s="34">
        <v>5000</v>
      </c>
    </row>
    <row r="147" spans="1:4" x14ac:dyDescent="0.25">
      <c r="A147" s="10">
        <f t="shared" si="3"/>
        <v>142</v>
      </c>
      <c r="B147" s="22" t="s">
        <v>120</v>
      </c>
      <c r="C147" s="25">
        <f>VLOOKUP(B147,'[3]harga non obat'!B$4:K$44,10,FALSE)</f>
        <v>32600</v>
      </c>
      <c r="D147" s="34">
        <v>33000</v>
      </c>
    </row>
    <row r="148" spans="1:4" x14ac:dyDescent="0.25">
      <c r="A148" s="10">
        <f t="shared" si="3"/>
        <v>143</v>
      </c>
      <c r="B148" s="22" t="s">
        <v>121</v>
      </c>
      <c r="C148" s="25">
        <f>VLOOKUP(B148,'[3]harga non obat'!B$4:K$44,10,FALSE)</f>
        <v>1630</v>
      </c>
      <c r="D148" s="34">
        <v>2000</v>
      </c>
    </row>
    <row r="149" spans="1:4" x14ac:dyDescent="0.25">
      <c r="A149" s="10">
        <f t="shared" si="3"/>
        <v>144</v>
      </c>
      <c r="B149" s="22" t="s">
        <v>122</v>
      </c>
      <c r="C149" s="25">
        <f>VLOOKUP(B149,'[3]harga non obat'!B$4:K$44,10,FALSE)</f>
        <v>815</v>
      </c>
      <c r="D149" s="34">
        <v>1500</v>
      </c>
    </row>
    <row r="150" spans="1:4" x14ac:dyDescent="0.25">
      <c r="A150" s="10">
        <f t="shared" si="3"/>
        <v>145</v>
      </c>
      <c r="B150" s="22" t="s">
        <v>123</v>
      </c>
      <c r="C150" s="25">
        <f>VLOOKUP(B150,'[3]harga non obat'!B$4:K$44,10,FALSE)</f>
        <v>40750</v>
      </c>
      <c r="D150" s="34">
        <v>45000</v>
      </c>
    </row>
    <row r="151" spans="1:4" x14ac:dyDescent="0.25">
      <c r="A151" s="10">
        <f t="shared" si="3"/>
        <v>146</v>
      </c>
      <c r="B151" s="22" t="s">
        <v>124</v>
      </c>
      <c r="C151" s="25">
        <f>VLOOKUP(B151,'[3]harga non obat'!B$4:K$44,10,FALSE)</f>
        <v>11410</v>
      </c>
      <c r="D151" s="34">
        <v>15000</v>
      </c>
    </row>
    <row r="152" spans="1:4" x14ac:dyDescent="0.25">
      <c r="A152" s="10">
        <f t="shared" si="3"/>
        <v>147</v>
      </c>
      <c r="B152" s="22" t="s">
        <v>125</v>
      </c>
      <c r="C152" s="25">
        <f>VLOOKUP(B152,'[3]harga non obat'!B$4:K$44,10,FALSE)</f>
        <v>1630</v>
      </c>
      <c r="D152" s="34">
        <v>5000</v>
      </c>
    </row>
    <row r="153" spans="1:4" x14ac:dyDescent="0.25">
      <c r="A153" s="10">
        <f t="shared" si="3"/>
        <v>148</v>
      </c>
      <c r="B153" s="22" t="s">
        <v>126</v>
      </c>
      <c r="C153" s="25">
        <f>VLOOKUP(B153,'[3]harga non obat'!B$4:K$44,10,FALSE)</f>
        <v>1630</v>
      </c>
      <c r="D153" s="34">
        <v>5000</v>
      </c>
    </row>
    <row r="154" spans="1:4" x14ac:dyDescent="0.25">
      <c r="A154" s="10">
        <f t="shared" si="3"/>
        <v>149</v>
      </c>
      <c r="B154" s="22" t="s">
        <v>127</v>
      </c>
      <c r="C154" s="25">
        <f>VLOOKUP(B154,'[3]harga non obat'!B$4:K$44,10,FALSE)</f>
        <v>1630</v>
      </c>
      <c r="D154" s="34">
        <v>5000</v>
      </c>
    </row>
    <row r="155" spans="1:4" x14ac:dyDescent="0.25">
      <c r="A155" s="10">
        <f t="shared" si="3"/>
        <v>150</v>
      </c>
      <c r="B155" s="22" t="s">
        <v>128</v>
      </c>
      <c r="C155" s="25">
        <f>VLOOKUP(B155,'[3]harga non obat'!B$4:K$44,10,FALSE)</f>
        <v>13040</v>
      </c>
      <c r="D155" s="34">
        <v>15000</v>
      </c>
    </row>
    <row r="156" spans="1:4" x14ac:dyDescent="0.25">
      <c r="A156" s="10">
        <f t="shared" si="3"/>
        <v>151</v>
      </c>
      <c r="B156" s="22" t="s">
        <v>129</v>
      </c>
      <c r="C156" s="25">
        <f>VLOOKUP(B156,'[3]harga non obat'!B$4:K$44,10,FALSE)</f>
        <v>7335</v>
      </c>
      <c r="D156" s="34">
        <v>15000</v>
      </c>
    </row>
    <row r="157" spans="1:4" x14ac:dyDescent="0.25">
      <c r="A157" s="10">
        <f t="shared" si="3"/>
        <v>152</v>
      </c>
      <c r="B157" s="22" t="s">
        <v>130</v>
      </c>
      <c r="C157" s="25">
        <f>VLOOKUP(B157,'[3]harga non obat'!B$4:K$44,10,FALSE)</f>
        <v>1630</v>
      </c>
      <c r="D157" s="34">
        <v>10000</v>
      </c>
    </row>
    <row r="158" spans="1:4" x14ac:dyDescent="0.25">
      <c r="A158" s="10">
        <f t="shared" si="3"/>
        <v>153</v>
      </c>
      <c r="B158" s="22" t="s">
        <v>131</v>
      </c>
      <c r="C158" s="25">
        <f>VLOOKUP(B158,'[3]harga non obat'!B$4:K$44,10,FALSE)</f>
        <v>57050</v>
      </c>
      <c r="D158" s="34">
        <v>60000</v>
      </c>
    </row>
    <row r="159" spans="1:4" x14ac:dyDescent="0.25">
      <c r="A159" s="10">
        <f t="shared" si="3"/>
        <v>154</v>
      </c>
      <c r="B159" s="22" t="s">
        <v>132</v>
      </c>
      <c r="C159" s="25">
        <f>VLOOKUP(B159,'[3]harga non obat'!B$4:K$44,10,FALSE)</f>
        <v>73350</v>
      </c>
      <c r="D159" s="34">
        <v>75000</v>
      </c>
    </row>
    <row r="160" spans="1:4" x14ac:dyDescent="0.25">
      <c r="A160" s="10">
        <f t="shared" si="3"/>
        <v>155</v>
      </c>
      <c r="B160" s="22" t="s">
        <v>133</v>
      </c>
      <c r="C160" s="25">
        <f>VLOOKUP(B160,'[3]harga non obat'!B$4:K$44,10,FALSE)</f>
        <v>154.85</v>
      </c>
      <c r="D160" s="34">
        <v>200</v>
      </c>
    </row>
    <row r="161" spans="1:4" x14ac:dyDescent="0.25">
      <c r="A161" s="10">
        <f t="shared" si="3"/>
        <v>156</v>
      </c>
      <c r="B161" s="22" t="s">
        <v>134</v>
      </c>
      <c r="C161" s="25">
        <f>VLOOKUP(B161,'[3]harga non obat'!B$4:K$44,10,FALSE)</f>
        <v>73350</v>
      </c>
      <c r="D161" s="34">
        <v>75000</v>
      </c>
    </row>
    <row r="162" spans="1:4" x14ac:dyDescent="0.25">
      <c r="A162" s="10">
        <f t="shared" si="3"/>
        <v>157</v>
      </c>
      <c r="B162" s="22" t="s">
        <v>135</v>
      </c>
      <c r="C162" s="25">
        <f>VLOOKUP(B162,'[3]harga non obat'!B$4:K$44,10,FALSE)</f>
        <v>24450</v>
      </c>
      <c r="D162" s="34">
        <v>25000</v>
      </c>
    </row>
    <row r="163" spans="1:4" x14ac:dyDescent="0.25">
      <c r="A163" s="10">
        <f t="shared" si="3"/>
        <v>158</v>
      </c>
      <c r="B163" s="22" t="s">
        <v>136</v>
      </c>
      <c r="C163" s="25">
        <f>VLOOKUP(B163,'[3]harga non obat'!B$4:K$44,10,FALSE)</f>
        <v>9780</v>
      </c>
      <c r="D163" s="34">
        <v>10000</v>
      </c>
    </row>
    <row r="164" spans="1:4" x14ac:dyDescent="0.25">
      <c r="A164" s="10">
        <f t="shared" si="3"/>
        <v>159</v>
      </c>
      <c r="B164" s="22" t="s">
        <v>137</v>
      </c>
      <c r="C164" s="25">
        <f>VLOOKUP(B164,'[3]harga non obat'!B$4:K$44,10,FALSE)</f>
        <v>105950</v>
      </c>
      <c r="D164" s="34">
        <v>106000</v>
      </c>
    </row>
    <row r="165" spans="1:4" x14ac:dyDescent="0.25">
      <c r="A165" s="10">
        <f t="shared" si="3"/>
        <v>160</v>
      </c>
      <c r="B165" s="22" t="s">
        <v>138</v>
      </c>
      <c r="C165" s="25">
        <f>VLOOKUP(B165,'[3]harga non obat'!B$4:K$44,10,FALSE)</f>
        <v>89650</v>
      </c>
      <c r="D165" s="34">
        <v>90000</v>
      </c>
    </row>
    <row r="166" spans="1:4" x14ac:dyDescent="0.25">
      <c r="A166" s="10">
        <f t="shared" si="3"/>
        <v>161</v>
      </c>
      <c r="B166" s="22" t="s">
        <v>139</v>
      </c>
      <c r="C166" s="25">
        <f>VLOOKUP(B166,'[3]harga non obat'!B$4:K$44,10,FALSE)</f>
        <v>16300</v>
      </c>
      <c r="D166" s="34">
        <v>17000</v>
      </c>
    </row>
    <row r="167" spans="1:4" x14ac:dyDescent="0.25">
      <c r="A167" s="10">
        <f t="shared" si="3"/>
        <v>162</v>
      </c>
      <c r="B167" s="22" t="s">
        <v>140</v>
      </c>
      <c r="C167" s="25">
        <f>VLOOKUP(B167,'[3]harga non obat'!B$4:K$44,10,FALSE)</f>
        <v>16300</v>
      </c>
      <c r="D167" s="34">
        <v>17000</v>
      </c>
    </row>
    <row r="168" spans="1:4" x14ac:dyDescent="0.25">
      <c r="A168" s="10">
        <f t="shared" si="3"/>
        <v>163</v>
      </c>
      <c r="B168" s="22" t="s">
        <v>141</v>
      </c>
      <c r="C168" s="25">
        <f>VLOOKUP(B168,'[3]harga non obat'!B$4:K$44,10,FALSE)</f>
        <v>44010</v>
      </c>
      <c r="D168" s="34">
        <v>45000</v>
      </c>
    </row>
    <row r="169" spans="1:4" x14ac:dyDescent="0.25">
      <c r="A169" s="10">
        <f t="shared" si="3"/>
        <v>164</v>
      </c>
      <c r="B169" s="22" t="s">
        <v>142</v>
      </c>
      <c r="C169" s="25">
        <f>VLOOKUP(B169,'[3]harga non obat'!B$4:K$44,10,FALSE)</f>
        <v>81500</v>
      </c>
      <c r="D169" s="34">
        <v>82000</v>
      </c>
    </row>
    <row r="170" spans="1:4" x14ac:dyDescent="0.25">
      <c r="A170" s="10">
        <f t="shared" si="3"/>
        <v>165</v>
      </c>
      <c r="B170" s="22" t="s">
        <v>143</v>
      </c>
      <c r="C170" s="25">
        <f>VLOOKUP(B170,'[3]harga non obat'!B$4:K$44,10,FALSE)</f>
        <v>5705</v>
      </c>
      <c r="D170" s="34">
        <v>7000</v>
      </c>
    </row>
    <row r="171" spans="1:4" x14ac:dyDescent="0.25">
      <c r="A171" s="10">
        <f t="shared" si="3"/>
        <v>166</v>
      </c>
      <c r="B171" s="22" t="s">
        <v>144</v>
      </c>
      <c r="C171" s="25">
        <f>VLOOKUP(B171,'[3]harga non obat'!B$4:K$44,10,FALSE)</f>
        <v>5705</v>
      </c>
      <c r="D171" s="34">
        <v>7000</v>
      </c>
    </row>
    <row r="172" spans="1:4" x14ac:dyDescent="0.25">
      <c r="A172" s="10">
        <f t="shared" si="3"/>
        <v>167</v>
      </c>
      <c r="B172" s="22" t="s">
        <v>145</v>
      </c>
      <c r="C172" s="25">
        <f>VLOOKUP(B172,'[3]harga non obat'!B$4:K$44,10,FALSE)</f>
        <v>5705</v>
      </c>
      <c r="D172" s="34">
        <v>7000</v>
      </c>
    </row>
    <row r="173" spans="1:4" x14ac:dyDescent="0.25">
      <c r="A173" s="10">
        <f t="shared" si="3"/>
        <v>168</v>
      </c>
      <c r="B173" s="22" t="s">
        <v>146</v>
      </c>
      <c r="C173" s="25">
        <f>VLOOKUP(B173,'[3]harga non obat'!B$4:K$44,10,FALSE)</f>
        <v>5705</v>
      </c>
      <c r="D173" s="34">
        <v>7000</v>
      </c>
    </row>
    <row r="174" spans="1:4" x14ac:dyDescent="0.25">
      <c r="A174" s="10">
        <f t="shared" si="3"/>
        <v>169</v>
      </c>
      <c r="B174" s="22" t="s">
        <v>147</v>
      </c>
      <c r="C174" s="25">
        <f>VLOOKUP(B174,'[3]harga non obat'!B$4:K$44,10,FALSE)</f>
        <v>16300</v>
      </c>
      <c r="D174" s="34">
        <v>17000</v>
      </c>
    </row>
    <row r="175" spans="1:4" x14ac:dyDescent="0.25">
      <c r="A175" s="10">
        <f t="shared" si="3"/>
        <v>170</v>
      </c>
      <c r="B175" s="22" t="s">
        <v>148</v>
      </c>
      <c r="C175" s="25">
        <f>VLOOKUP(B175,'[3]harga non obat'!B$4:K$44,10,FALSE)</f>
        <v>17930</v>
      </c>
      <c r="D175" s="34">
        <v>18000</v>
      </c>
    </row>
    <row r="176" spans="1:4" x14ac:dyDescent="0.25">
      <c r="A176" s="10">
        <f t="shared" si="3"/>
        <v>171</v>
      </c>
      <c r="B176" s="22" t="s">
        <v>149</v>
      </c>
      <c r="C176" s="25">
        <f>VLOOKUP(B176,'[3]harga non obat'!B$4:K$44,10,FALSE)</f>
        <v>326</v>
      </c>
      <c r="D176" s="34">
        <v>1000</v>
      </c>
    </row>
    <row r="177" spans="1:4" x14ac:dyDescent="0.25">
      <c r="A177" s="10">
        <f t="shared" si="3"/>
        <v>172</v>
      </c>
      <c r="B177" s="22" t="s">
        <v>150</v>
      </c>
      <c r="C177" s="25">
        <f>VLOOKUP(B177,'[3]harga non obat'!B$4:K$44,10,FALSE)</f>
        <v>16300</v>
      </c>
      <c r="D177" s="34">
        <v>18000</v>
      </c>
    </row>
    <row r="178" spans="1:4" x14ac:dyDescent="0.25">
      <c r="A178" s="10">
        <f t="shared" si="3"/>
        <v>173</v>
      </c>
      <c r="B178" s="22" t="s">
        <v>151</v>
      </c>
      <c r="C178" s="25">
        <f>VLOOKUP(B178,'[3]harga non obat'!B$4:K$44,10,FALSE)</f>
        <v>29340</v>
      </c>
      <c r="D178" s="34">
        <v>30000</v>
      </c>
    </row>
    <row r="179" spans="1:4" x14ac:dyDescent="0.25">
      <c r="A179" s="10">
        <f t="shared" si="3"/>
        <v>174</v>
      </c>
      <c r="B179" s="22" t="s">
        <v>152</v>
      </c>
      <c r="C179" s="25">
        <f>VLOOKUP(B179,'[3]harga non obat'!B$4:K$44,10,FALSE)</f>
        <v>10187.5</v>
      </c>
      <c r="D179" s="34">
        <v>12000</v>
      </c>
    </row>
    <row r="180" spans="1:4" x14ac:dyDescent="0.25">
      <c r="A180" s="10">
        <f t="shared" si="3"/>
        <v>175</v>
      </c>
      <c r="B180" s="22" t="s">
        <v>153</v>
      </c>
      <c r="C180" s="25">
        <f>VLOOKUP(B180,'[3]harga non obat'!B$4:K$44,10,FALSE)</f>
        <v>1630</v>
      </c>
      <c r="D180" s="34">
        <v>2500</v>
      </c>
    </row>
    <row r="181" spans="1:4" x14ac:dyDescent="0.25">
      <c r="A181" s="10">
        <f t="shared" si="3"/>
        <v>176</v>
      </c>
      <c r="B181" s="22" t="s">
        <v>113</v>
      </c>
      <c r="C181" s="25">
        <f>VLOOKUP(B181,'[3]harga non obat'!B$4:K$44,10,FALSE)</f>
        <v>11349.689999999999</v>
      </c>
      <c r="D181" s="34">
        <v>12000</v>
      </c>
    </row>
    <row r="182" spans="1:4" x14ac:dyDescent="0.25">
      <c r="A182" s="10">
        <f t="shared" si="3"/>
        <v>177</v>
      </c>
      <c r="B182" s="22"/>
      <c r="C182" s="25"/>
      <c r="D182" s="34"/>
    </row>
    <row r="183" spans="1:4" x14ac:dyDescent="0.25">
      <c r="A183" s="10">
        <f t="shared" si="3"/>
        <v>178</v>
      </c>
      <c r="B183" s="22"/>
      <c r="C183" s="25"/>
      <c r="D183" s="34"/>
    </row>
    <row r="184" spans="1:4" x14ac:dyDescent="0.25">
      <c r="A184" s="10">
        <f t="shared" si="3"/>
        <v>179</v>
      </c>
      <c r="B184" s="22"/>
      <c r="C184" s="25"/>
      <c r="D184" s="34"/>
    </row>
    <row r="185" spans="1:4" x14ac:dyDescent="0.25">
      <c r="A185" s="10">
        <f t="shared" si="3"/>
        <v>180</v>
      </c>
      <c r="B185" s="22"/>
      <c r="C185" s="25"/>
      <c r="D185" s="34"/>
    </row>
    <row r="186" spans="1:4" x14ac:dyDescent="0.25">
      <c r="A186" s="10">
        <f t="shared" si="3"/>
        <v>181</v>
      </c>
      <c r="B186" s="22"/>
      <c r="C186" s="25"/>
      <c r="D186" s="34"/>
    </row>
    <row r="187" spans="1:4" x14ac:dyDescent="0.25">
      <c r="A187" s="10">
        <f t="shared" si="3"/>
        <v>182</v>
      </c>
      <c r="B187" s="22"/>
      <c r="C187" s="25"/>
      <c r="D187" s="34"/>
    </row>
    <row r="188" spans="1:4" x14ac:dyDescent="0.25">
      <c r="A188" s="10">
        <f>A187+1</f>
        <v>183</v>
      </c>
      <c r="B188" s="22"/>
      <c r="C188" s="25"/>
      <c r="D188" s="34"/>
    </row>
    <row r="189" spans="1:4" x14ac:dyDescent="0.25">
      <c r="A189" s="10">
        <f>A188+1</f>
        <v>184</v>
      </c>
      <c r="B189" s="22"/>
      <c r="C189" s="25"/>
      <c r="D189" s="34"/>
    </row>
    <row r="190" spans="1:4" x14ac:dyDescent="0.25">
      <c r="A190" s="10">
        <f>A189+1</f>
        <v>185</v>
      </c>
      <c r="B190" s="22"/>
      <c r="C190" s="25"/>
      <c r="D190" s="34"/>
    </row>
    <row r="191" spans="1:4" x14ac:dyDescent="0.25">
      <c r="A191" s="10">
        <f>A190+1</f>
        <v>186</v>
      </c>
      <c r="B191" s="22"/>
      <c r="C191" s="25"/>
      <c r="D191" s="34"/>
    </row>
    <row r="192" spans="1:4" x14ac:dyDescent="0.25">
      <c r="A192" s="10">
        <f>A191+1</f>
        <v>187</v>
      </c>
      <c r="B192" s="22"/>
      <c r="C192" s="22"/>
      <c r="D192" s="25"/>
    </row>
  </sheetData>
  <pageMargins left="4.1338582677165361" right="0" top="0" bottom="0" header="0.31496062992125984" footer="0.31496062992125984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D3923-C18D-4FE1-897E-AE8468D8CC8F}">
  <dimension ref="A1:O51"/>
  <sheetViews>
    <sheetView topLeftCell="A13" zoomScale="80" zoomScaleNormal="80" workbookViewId="0">
      <selection activeCell="A31" sqref="A31:G31"/>
    </sheetView>
  </sheetViews>
  <sheetFormatPr defaultRowHeight="15" x14ac:dyDescent="0.25"/>
  <cols>
    <col min="1" max="1" width="10.7109375" customWidth="1"/>
    <col min="3" max="3" width="6.140625" customWidth="1"/>
    <col min="4" max="4" width="18" customWidth="1"/>
    <col min="6" max="6" width="24.28515625" customWidth="1"/>
    <col min="7" max="7" width="22.5703125" customWidth="1"/>
  </cols>
  <sheetData>
    <row r="1" spans="1:7" ht="18.75" x14ac:dyDescent="0.3">
      <c r="A1" s="56" t="s">
        <v>87</v>
      </c>
      <c r="B1" s="56"/>
      <c r="C1" s="56"/>
      <c r="D1" s="56"/>
      <c r="E1" s="56"/>
      <c r="F1" s="56"/>
      <c r="G1" s="56"/>
    </row>
    <row r="2" spans="1:7" ht="12.75" customHeight="1" x14ac:dyDescent="0.25">
      <c r="A2" s="53" t="s">
        <v>50</v>
      </c>
      <c r="B2" s="53"/>
      <c r="C2" s="53"/>
      <c r="D2" s="53"/>
      <c r="E2" s="53"/>
      <c r="F2" s="53"/>
      <c r="G2" s="53"/>
    </row>
    <row r="3" spans="1:7" ht="12" customHeight="1" thickBot="1" x14ac:dyDescent="0.3">
      <c r="A3" s="53" t="s">
        <v>286</v>
      </c>
      <c r="B3" s="53"/>
      <c r="C3" s="53"/>
      <c r="D3" s="53"/>
      <c r="E3" s="53"/>
      <c r="F3" s="53"/>
      <c r="G3" s="53"/>
    </row>
    <row r="4" spans="1:7" ht="19.5" thickTop="1" x14ac:dyDescent="0.3">
      <c r="A4" s="54" t="s">
        <v>0</v>
      </c>
      <c r="B4" s="54"/>
      <c r="C4" s="54"/>
      <c r="D4" s="54"/>
      <c r="E4" s="54"/>
      <c r="F4" s="54"/>
      <c r="G4" s="54"/>
    </row>
    <row r="5" spans="1:7" ht="15.75" x14ac:dyDescent="0.25">
      <c r="A5" s="55" t="str">
        <f>'KWITANSI FULL '!A6:G6</f>
        <v>NO : 367/1026</v>
      </c>
      <c r="B5" s="55"/>
      <c r="C5" s="55"/>
      <c r="D5" s="55"/>
      <c r="E5" s="55"/>
      <c r="F5" s="55"/>
      <c r="G5" s="55"/>
    </row>
    <row r="6" spans="1:7" ht="4.5" customHeight="1" x14ac:dyDescent="0.25">
      <c r="A6" s="11"/>
      <c r="B6" s="11"/>
      <c r="C6" s="11"/>
      <c r="D6" s="11"/>
      <c r="E6" s="11"/>
      <c r="F6" s="11"/>
      <c r="G6" s="11"/>
    </row>
    <row r="7" spans="1:7" ht="21" customHeight="1" x14ac:dyDescent="0.25">
      <c r="A7" s="11" t="s">
        <v>1</v>
      </c>
      <c r="B7" s="12"/>
      <c r="C7" s="11" t="s">
        <v>247</v>
      </c>
      <c r="D7" s="50" t="s">
        <v>248</v>
      </c>
      <c r="E7" s="47"/>
      <c r="F7" s="11"/>
      <c r="G7" s="43">
        <f ca="1">TODAY()</f>
        <v>46301</v>
      </c>
    </row>
    <row r="8" spans="1:7" ht="15.75" x14ac:dyDescent="0.25">
      <c r="A8" s="11" t="s">
        <v>2</v>
      </c>
      <c r="B8" s="11"/>
      <c r="C8" s="11" t="s">
        <v>195</v>
      </c>
      <c r="D8" s="50" t="s">
        <v>249</v>
      </c>
      <c r="E8" s="11"/>
      <c r="F8" s="11"/>
      <c r="G8" s="11"/>
    </row>
    <row r="9" spans="1:7" ht="15.75" x14ac:dyDescent="0.25">
      <c r="A9" s="11" t="s">
        <v>3</v>
      </c>
      <c r="B9" s="11"/>
      <c r="C9" s="11" t="s">
        <v>196</v>
      </c>
      <c r="D9" s="11" t="s">
        <v>197</v>
      </c>
      <c r="E9" s="11"/>
      <c r="F9" s="11"/>
      <c r="G9" s="11"/>
    </row>
    <row r="10" spans="1:7" ht="15.75" x14ac:dyDescent="0.25">
      <c r="A10" s="11"/>
      <c r="B10" s="11"/>
      <c r="C10" s="11"/>
      <c r="D10" s="11"/>
      <c r="E10" s="11"/>
      <c r="F10" s="11"/>
      <c r="G10" s="11"/>
    </row>
    <row r="11" spans="1:7" ht="15.75" x14ac:dyDescent="0.25">
      <c r="A11" s="11" t="s">
        <v>14</v>
      </c>
      <c r="B11" s="11"/>
      <c r="C11" s="11"/>
      <c r="D11" s="11"/>
      <c r="E11" s="11"/>
      <c r="F11" s="11"/>
      <c r="G11" s="1"/>
    </row>
    <row r="12" spans="1:7" x14ac:dyDescent="0.25">
      <c r="A12" s="37" t="s">
        <v>85</v>
      </c>
      <c r="B12" s="30" t="s">
        <v>6</v>
      </c>
      <c r="C12" s="17"/>
      <c r="D12" s="17"/>
      <c r="E12" s="17"/>
      <c r="F12" s="17"/>
      <c r="G12" s="52">
        <f>VLOOKUP(B12,HARGA!$B$3:$D$181,3,FALSE)</f>
        <v>120000</v>
      </c>
    </row>
    <row r="13" spans="1:7" x14ac:dyDescent="0.25">
      <c r="A13" s="37"/>
      <c r="B13" s="30" t="s">
        <v>7</v>
      </c>
      <c r="C13" s="17"/>
      <c r="D13" s="17"/>
      <c r="E13" s="35"/>
      <c r="F13" s="17"/>
      <c r="G13" s="52">
        <f>VLOOKUP(B13,HARGA!$B$3:$D$181,3,FALSE)</f>
        <v>80000</v>
      </c>
    </row>
    <row r="14" spans="1:7" x14ac:dyDescent="0.25">
      <c r="A14" s="37" t="s">
        <v>88</v>
      </c>
      <c r="B14" s="17" t="s">
        <v>52</v>
      </c>
      <c r="C14" s="17"/>
      <c r="D14" s="17"/>
      <c r="E14" s="17">
        <v>14</v>
      </c>
      <c r="F14" s="17" t="s">
        <v>73</v>
      </c>
      <c r="G14" s="1">
        <f>VLOOKUP(B14,HARGA!$B$3:$D$181,3,FALSE)*E14</f>
        <v>434000</v>
      </c>
    </row>
    <row r="15" spans="1:7" x14ac:dyDescent="0.25">
      <c r="A15" s="37"/>
      <c r="B15" s="30"/>
      <c r="C15" s="17"/>
      <c r="D15" s="17"/>
      <c r="E15" s="35"/>
      <c r="F15" s="17"/>
      <c r="G15" s="1"/>
    </row>
    <row r="16" spans="1:7" ht="15.75" x14ac:dyDescent="0.25">
      <c r="A16" s="16" t="s">
        <v>9</v>
      </c>
      <c r="B16" s="16"/>
      <c r="C16" s="16"/>
      <c r="D16" s="16"/>
      <c r="E16" s="16"/>
      <c r="F16" s="16"/>
      <c r="G16" s="48">
        <f>SUM(G12:G15)</f>
        <v>634000</v>
      </c>
    </row>
    <row r="17" spans="1:15" ht="15.75" x14ac:dyDescent="0.25">
      <c r="A17" s="11"/>
      <c r="B17" s="11"/>
      <c r="C17" s="11"/>
      <c r="D17" s="11"/>
      <c r="E17" s="11"/>
      <c r="F17" s="11"/>
      <c r="G17" s="14"/>
      <c r="O17" t="s">
        <v>203</v>
      </c>
    </row>
    <row r="18" spans="1:15" ht="15.75" x14ac:dyDescent="0.25">
      <c r="A18" s="11" t="s">
        <v>12</v>
      </c>
      <c r="B18" s="11"/>
      <c r="C18" s="46" t="s">
        <v>13</v>
      </c>
      <c r="D18" s="11"/>
      <c r="E18" s="11"/>
      <c r="F18" s="11"/>
      <c r="G18" s="11"/>
    </row>
    <row r="19" spans="1:15" ht="15.75" x14ac:dyDescent="0.25">
      <c r="A19" s="11" t="s">
        <v>10</v>
      </c>
      <c r="B19" s="11"/>
      <c r="C19" s="46" t="s">
        <v>13</v>
      </c>
      <c r="D19" s="16" t="str">
        <f>PROPER([1]!terbilang(G16))&amp;"Rupiah"</f>
        <v>Enamratus Tigapuluh Empat Ribu Rupiah</v>
      </c>
      <c r="E19" s="11"/>
      <c r="F19" s="11"/>
      <c r="G19" s="11"/>
    </row>
    <row r="20" spans="1:15" ht="8.25" customHeight="1" x14ac:dyDescent="0.25">
      <c r="A20" s="11"/>
      <c r="B20" s="11"/>
      <c r="C20" s="11"/>
      <c r="D20" s="11"/>
      <c r="E20" s="11"/>
      <c r="F20" s="11"/>
      <c r="G20" s="11"/>
    </row>
    <row r="21" spans="1:15" ht="15.75" x14ac:dyDescent="0.25">
      <c r="A21" s="11"/>
      <c r="B21" s="11"/>
      <c r="C21" s="11"/>
      <c r="D21" s="11"/>
      <c r="E21" s="11"/>
      <c r="F21" s="11"/>
      <c r="G21" s="11" t="s">
        <v>16</v>
      </c>
    </row>
    <row r="22" spans="1:15" ht="15.75" x14ac:dyDescent="0.25">
      <c r="A22" s="11"/>
      <c r="B22" s="11"/>
      <c r="C22" s="11"/>
      <c r="D22" s="11"/>
      <c r="E22" s="11"/>
      <c r="F22" s="11"/>
      <c r="G22" s="11"/>
    </row>
    <row r="23" spans="1:15" ht="15.75" x14ac:dyDescent="0.25">
      <c r="A23" s="11"/>
      <c r="B23" s="11"/>
      <c r="C23" s="11"/>
      <c r="D23" s="11"/>
      <c r="E23" s="11"/>
      <c r="F23" s="11"/>
      <c r="G23" s="11"/>
    </row>
    <row r="24" spans="1:15" ht="15.75" x14ac:dyDescent="0.25">
      <c r="A24" s="11"/>
      <c r="B24" s="11"/>
      <c r="C24" s="11"/>
      <c r="D24" s="11"/>
      <c r="E24" s="11"/>
      <c r="F24" s="11"/>
      <c r="G24" s="11" t="s">
        <v>17</v>
      </c>
    </row>
    <row r="25" spans="1:15" ht="15.75" x14ac:dyDescent="0.25">
      <c r="A25" s="11"/>
      <c r="B25" s="11"/>
      <c r="C25" s="11"/>
      <c r="D25" s="11"/>
      <c r="E25" s="11"/>
      <c r="F25" s="11"/>
      <c r="G25" s="11"/>
    </row>
    <row r="26" spans="1:15" ht="15.75" x14ac:dyDescent="0.25">
      <c r="A26" s="28"/>
      <c r="B26" s="28"/>
      <c r="C26" s="28"/>
      <c r="D26" s="28"/>
      <c r="E26" s="28"/>
      <c r="F26" s="28"/>
      <c r="G26" s="28"/>
    </row>
    <row r="27" spans="1:15" ht="15.75" x14ac:dyDescent="0.25">
      <c r="A27" s="11"/>
      <c r="B27" s="11"/>
      <c r="C27" s="11"/>
      <c r="D27" s="11"/>
      <c r="E27" s="11"/>
      <c r="F27" s="11"/>
      <c r="G27" s="11"/>
    </row>
    <row r="29" spans="1:15" ht="18.75" x14ac:dyDescent="0.3">
      <c r="A29" s="56" t="s">
        <v>203</v>
      </c>
      <c r="B29" s="56"/>
      <c r="C29" s="56"/>
      <c r="D29" s="56"/>
      <c r="E29" s="56"/>
      <c r="F29" s="56"/>
      <c r="G29" s="56"/>
    </row>
    <row r="30" spans="1:15" x14ac:dyDescent="0.25">
      <c r="A30" s="53" t="s">
        <v>50</v>
      </c>
      <c r="B30" s="53"/>
      <c r="C30" s="53"/>
      <c r="D30" s="53"/>
      <c r="E30" s="53"/>
      <c r="F30" s="53"/>
      <c r="G30" s="53"/>
    </row>
    <row r="31" spans="1:15" ht="15.75" thickBot="1" x14ac:dyDescent="0.3">
      <c r="A31" s="53" t="s">
        <v>286</v>
      </c>
      <c r="B31" s="53"/>
      <c r="C31" s="53"/>
      <c r="D31" s="53"/>
      <c r="E31" s="53"/>
      <c r="F31" s="53"/>
      <c r="G31" s="53"/>
    </row>
    <row r="32" spans="1:15" ht="19.5" thickTop="1" x14ac:dyDescent="0.3">
      <c r="A32" s="54" t="s">
        <v>0</v>
      </c>
      <c r="B32" s="54"/>
      <c r="C32" s="54"/>
      <c r="D32" s="54"/>
      <c r="E32" s="54"/>
      <c r="F32" s="54"/>
      <c r="G32" s="54"/>
    </row>
    <row r="33" spans="1:7" ht="15.75" x14ac:dyDescent="0.25">
      <c r="A33" s="55" t="str">
        <f>A5</f>
        <v>NO : 367/1026</v>
      </c>
      <c r="B33" s="55"/>
      <c r="C33" s="55"/>
      <c r="D33" s="55"/>
      <c r="E33" s="55"/>
      <c r="F33" s="55"/>
      <c r="G33" s="55"/>
    </row>
    <row r="34" spans="1:7" ht="15.75" x14ac:dyDescent="0.25">
      <c r="A34" s="11"/>
      <c r="B34" s="11"/>
      <c r="C34" s="11"/>
      <c r="D34" s="11"/>
      <c r="E34" s="11"/>
      <c r="F34" s="11"/>
      <c r="G34" s="11"/>
    </row>
    <row r="35" spans="1:7" ht="15.75" x14ac:dyDescent="0.25">
      <c r="A35" s="11" t="s">
        <v>1</v>
      </c>
      <c r="B35" s="12"/>
      <c r="C35" s="11" t="s">
        <v>195</v>
      </c>
      <c r="D35" s="11" t="s">
        <v>257</v>
      </c>
      <c r="E35" s="11"/>
      <c r="F35" s="11"/>
      <c r="G35" s="13">
        <f ca="1">TODAY()</f>
        <v>46301</v>
      </c>
    </row>
    <row r="36" spans="1:7" ht="15.75" x14ac:dyDescent="0.25">
      <c r="A36" s="11" t="s">
        <v>2</v>
      </c>
      <c r="B36" s="11"/>
      <c r="C36" s="11" t="s">
        <v>195</v>
      </c>
      <c r="D36" s="11" t="str">
        <f>D35</f>
        <v>Nabilah Ali Bajri</v>
      </c>
      <c r="E36" s="11"/>
      <c r="F36" s="11"/>
      <c r="G36" s="11"/>
    </row>
    <row r="37" spans="1:7" ht="15.75" x14ac:dyDescent="0.25">
      <c r="A37" s="11" t="s">
        <v>3</v>
      </c>
      <c r="B37" s="11"/>
      <c r="C37" s="11" t="s">
        <v>196</v>
      </c>
      <c r="D37" s="11" t="s">
        <v>197</v>
      </c>
      <c r="E37" s="11"/>
      <c r="F37" s="11"/>
      <c r="G37" s="11"/>
    </row>
    <row r="38" spans="1:7" ht="15.75" x14ac:dyDescent="0.25">
      <c r="A38" s="11" t="s">
        <v>14</v>
      </c>
      <c r="B38" s="11"/>
      <c r="C38" s="11"/>
      <c r="D38" s="11"/>
      <c r="E38" s="11"/>
      <c r="F38" s="11"/>
      <c r="G38" s="11"/>
    </row>
    <row r="39" spans="1:7" x14ac:dyDescent="0.25">
      <c r="A39" s="37" t="s">
        <v>85</v>
      </c>
      <c r="B39" s="17" t="s">
        <v>6</v>
      </c>
      <c r="C39" s="17"/>
      <c r="D39" s="17"/>
      <c r="E39" s="17"/>
      <c r="F39" s="17"/>
      <c r="G39" s="52" t="s">
        <v>254</v>
      </c>
    </row>
    <row r="40" spans="1:7" x14ac:dyDescent="0.25">
      <c r="A40" s="37"/>
      <c r="B40" s="17" t="s">
        <v>7</v>
      </c>
      <c r="C40" s="17"/>
      <c r="D40" s="17"/>
      <c r="E40" s="17"/>
      <c r="F40" s="17"/>
      <c r="G40" s="1">
        <v>80000</v>
      </c>
    </row>
    <row r="41" spans="1:7" x14ac:dyDescent="0.25">
      <c r="A41" s="37"/>
      <c r="B41" s="17" t="s">
        <v>99</v>
      </c>
      <c r="C41" s="17"/>
      <c r="D41" s="17"/>
      <c r="E41" s="35"/>
      <c r="F41" s="17"/>
      <c r="G41" s="1">
        <v>450000</v>
      </c>
    </row>
    <row r="42" spans="1:7" ht="15.75" x14ac:dyDescent="0.25">
      <c r="A42" s="37" t="s">
        <v>92</v>
      </c>
      <c r="B42" s="11" t="s">
        <v>94</v>
      </c>
      <c r="C42" s="17"/>
      <c r="D42" s="17"/>
      <c r="E42" s="35">
        <v>1</v>
      </c>
      <c r="F42" s="17" t="s">
        <v>73</v>
      </c>
      <c r="G42" s="1">
        <v>5000</v>
      </c>
    </row>
    <row r="43" spans="1:7" ht="15.75" x14ac:dyDescent="0.25">
      <c r="A43" s="37"/>
      <c r="B43" s="11"/>
      <c r="C43" s="11"/>
      <c r="D43" s="11"/>
      <c r="E43" s="11"/>
      <c r="F43" s="11"/>
      <c r="G43" s="1"/>
    </row>
    <row r="44" spans="1:7" ht="15.75" x14ac:dyDescent="0.25">
      <c r="A44" s="16" t="s">
        <v>9</v>
      </c>
      <c r="B44" s="11"/>
      <c r="C44" s="11"/>
      <c r="D44" s="11"/>
      <c r="E44" s="11"/>
      <c r="F44" s="11"/>
      <c r="G44" s="15">
        <f>SUM(G39:G42)</f>
        <v>535000</v>
      </c>
    </row>
    <row r="45" spans="1:7" ht="15.75" x14ac:dyDescent="0.25">
      <c r="A45" s="11" t="s">
        <v>12</v>
      </c>
      <c r="B45" s="11"/>
      <c r="C45" s="11" t="s">
        <v>11</v>
      </c>
      <c r="D45" s="11"/>
      <c r="E45" s="11"/>
      <c r="F45" s="11"/>
      <c r="G45" s="11"/>
    </row>
    <row r="46" spans="1:7" ht="15.75" x14ac:dyDescent="0.25">
      <c r="A46" s="11" t="s">
        <v>10</v>
      </c>
      <c r="B46" s="11"/>
      <c r="C46" s="16" t="s">
        <v>13</v>
      </c>
      <c r="D46" s="16" t="str">
        <f>PROPER([1]!terbilang(G44))&amp;"Rupiah"</f>
        <v>Limaratus Tigapuluh Lima Ribu Rupiah</v>
      </c>
      <c r="E46" s="11"/>
      <c r="F46" s="11"/>
      <c r="G46" s="11"/>
    </row>
    <row r="47" spans="1:7" ht="15.75" x14ac:dyDescent="0.25">
      <c r="A47" s="11"/>
      <c r="B47" s="11"/>
      <c r="C47" s="11"/>
      <c r="D47" s="11"/>
      <c r="E47" s="11"/>
      <c r="F47" s="11"/>
      <c r="G47" s="11" t="s">
        <v>16</v>
      </c>
    </row>
    <row r="48" spans="1:7" ht="15.75" x14ac:dyDescent="0.25">
      <c r="A48" s="11"/>
      <c r="B48" s="11"/>
      <c r="C48" s="11"/>
      <c r="D48" s="11"/>
      <c r="E48" s="11"/>
      <c r="F48" s="11"/>
      <c r="G48" s="11"/>
    </row>
    <row r="49" spans="1:7" ht="15.75" x14ac:dyDescent="0.25">
      <c r="A49" s="11"/>
      <c r="B49" s="11"/>
      <c r="C49" s="11"/>
      <c r="D49" s="11"/>
      <c r="E49" s="11"/>
      <c r="F49" s="11"/>
      <c r="G49" s="11"/>
    </row>
    <row r="50" spans="1:7" ht="15.75" x14ac:dyDescent="0.25">
      <c r="A50" s="11"/>
      <c r="B50" s="11"/>
      <c r="C50" s="11"/>
      <c r="D50" s="11"/>
      <c r="E50" s="11"/>
      <c r="F50" s="11"/>
      <c r="G50" s="11" t="s">
        <v>17</v>
      </c>
    </row>
    <row r="51" spans="1:7" ht="15.75" x14ac:dyDescent="0.25">
      <c r="A51" s="11"/>
      <c r="B51" s="11"/>
      <c r="C51" s="11"/>
      <c r="D51" s="11"/>
      <c r="E51" s="11"/>
      <c r="F51" s="11"/>
      <c r="G51" s="11"/>
    </row>
  </sheetData>
  <mergeCells count="10">
    <mergeCell ref="A30:G30"/>
    <mergeCell ref="A31:G31"/>
    <mergeCell ref="A32:G32"/>
    <mergeCell ref="A33:G33"/>
    <mergeCell ref="A1:G1"/>
    <mergeCell ref="A2:G2"/>
    <mergeCell ref="A3:G3"/>
    <mergeCell ref="A4:G4"/>
    <mergeCell ref="A5:G5"/>
    <mergeCell ref="A29:G29"/>
  </mergeCells>
  <pageMargins left="0.23622047244094491" right="0.23622047244094491" top="0.35433070866141736" bottom="0" header="0.31496062992125984" footer="0.31496062992125984"/>
  <pageSetup paperSize="9" orientation="portrait" horizontalDpi="18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094AB-7871-4BE3-A893-D2626C5EB67A}">
  <dimension ref="A1:G60"/>
  <sheetViews>
    <sheetView zoomScaleNormal="100" workbookViewId="0">
      <selection activeCell="A35" sqref="A35:G35"/>
    </sheetView>
  </sheetViews>
  <sheetFormatPr defaultRowHeight="15" x14ac:dyDescent="0.25"/>
  <cols>
    <col min="3" max="3" width="5.85546875" customWidth="1"/>
    <col min="4" max="4" width="18" customWidth="1"/>
    <col min="6" max="6" width="25.7109375" customWidth="1"/>
    <col min="7" max="7" width="22.5703125" customWidth="1"/>
  </cols>
  <sheetData>
    <row r="1" spans="1:7" ht="18.75" x14ac:dyDescent="0.3">
      <c r="A1" s="56" t="s">
        <v>87</v>
      </c>
      <c r="B1" s="56"/>
      <c r="C1" s="56"/>
      <c r="D1" s="56"/>
      <c r="E1" s="56"/>
      <c r="F1" s="56"/>
      <c r="G1" s="56"/>
    </row>
    <row r="2" spans="1:7" ht="12.75" customHeight="1" x14ac:dyDescent="0.25">
      <c r="A2" s="53" t="s">
        <v>50</v>
      </c>
      <c r="B2" s="53"/>
      <c r="C2" s="53"/>
      <c r="D2" s="53"/>
      <c r="E2" s="53"/>
      <c r="F2" s="53"/>
      <c r="G2" s="53"/>
    </row>
    <row r="3" spans="1:7" ht="12" customHeight="1" x14ac:dyDescent="0.25">
      <c r="A3" s="53" t="s">
        <v>286</v>
      </c>
      <c r="B3" s="53"/>
      <c r="C3" s="53"/>
      <c r="D3" s="53"/>
      <c r="E3" s="53"/>
      <c r="F3" s="53"/>
      <c r="G3" s="53"/>
    </row>
    <row r="4" spans="1:7" ht="15" customHeight="1" thickBot="1" x14ac:dyDescent="0.3">
      <c r="A4" s="57" t="s">
        <v>185</v>
      </c>
      <c r="B4" s="57"/>
      <c r="C4" s="57"/>
      <c r="D4" s="57"/>
      <c r="E4" s="57"/>
      <c r="F4" s="57"/>
      <c r="G4" s="57"/>
    </row>
    <row r="5" spans="1:7" ht="19.5" thickTop="1" x14ac:dyDescent="0.3">
      <c r="A5" s="54" t="s">
        <v>0</v>
      </c>
      <c r="B5" s="54"/>
      <c r="C5" s="54"/>
      <c r="D5" s="54"/>
      <c r="E5" s="54"/>
      <c r="F5" s="54"/>
      <c r="G5" s="54"/>
    </row>
    <row r="6" spans="1:7" ht="15.75" x14ac:dyDescent="0.25">
      <c r="A6" s="55" t="s">
        <v>272</v>
      </c>
      <c r="B6" s="55"/>
      <c r="C6" s="55"/>
      <c r="D6" s="55"/>
      <c r="E6" s="55"/>
      <c r="F6" s="55"/>
      <c r="G6" s="55"/>
    </row>
    <row r="7" spans="1:7" ht="4.5" customHeight="1" x14ac:dyDescent="0.25">
      <c r="A7" s="11"/>
      <c r="B7" s="11"/>
      <c r="C7" s="11"/>
      <c r="D7" s="11"/>
      <c r="E7" s="11"/>
      <c r="F7" s="11"/>
      <c r="G7" s="11"/>
    </row>
    <row r="8" spans="1:7" ht="15.75" x14ac:dyDescent="0.25">
      <c r="A8" s="11" t="s">
        <v>1</v>
      </c>
      <c r="B8" s="12"/>
      <c r="C8" s="11" t="s">
        <v>195</v>
      </c>
      <c r="D8" s="11" t="s">
        <v>271</v>
      </c>
      <c r="E8" s="11"/>
      <c r="F8" s="11"/>
      <c r="G8" s="43">
        <f ca="1">TODAY()</f>
        <v>46301</v>
      </c>
    </row>
    <row r="9" spans="1:7" ht="15.75" x14ac:dyDescent="0.25">
      <c r="A9" s="11" t="s">
        <v>2</v>
      </c>
      <c r="B9" s="11"/>
      <c r="C9" s="11" t="s">
        <v>195</v>
      </c>
      <c r="D9" s="11" t="s">
        <v>271</v>
      </c>
      <c r="E9" s="11"/>
      <c r="F9" s="11"/>
      <c r="G9" s="11"/>
    </row>
    <row r="10" spans="1:7" ht="15.75" x14ac:dyDescent="0.25">
      <c r="A10" s="11" t="s">
        <v>3</v>
      </c>
      <c r="B10" s="11"/>
      <c r="C10" s="11" t="s">
        <v>196</v>
      </c>
      <c r="D10" s="11" t="s">
        <v>197</v>
      </c>
      <c r="E10" s="11"/>
      <c r="F10" s="11"/>
      <c r="G10" s="11"/>
    </row>
    <row r="11" spans="1:7" ht="15.75" x14ac:dyDescent="0.25">
      <c r="A11" s="11" t="s">
        <v>14</v>
      </c>
      <c r="B11" s="11"/>
      <c r="C11" s="11"/>
      <c r="D11" s="11"/>
      <c r="E11" s="11"/>
      <c r="F11" s="11"/>
      <c r="G11" s="11"/>
    </row>
    <row r="12" spans="1:7" x14ac:dyDescent="0.25">
      <c r="A12" s="37" t="s">
        <v>85</v>
      </c>
      <c r="B12" s="17" t="s">
        <v>6</v>
      </c>
      <c r="C12" s="17"/>
      <c r="D12" s="17"/>
      <c r="E12" s="17"/>
      <c r="F12" s="17"/>
      <c r="G12" s="1">
        <f>VLOOKUP(B12,HARGA!$B$3:$D$137,3,FALSE)</f>
        <v>120000</v>
      </c>
    </row>
    <row r="13" spans="1:7" x14ac:dyDescent="0.25">
      <c r="A13" s="37"/>
      <c r="B13" s="30" t="s">
        <v>7</v>
      </c>
      <c r="C13" s="17"/>
      <c r="D13" s="17"/>
      <c r="E13" s="35"/>
      <c r="F13" s="17"/>
      <c r="G13" s="1">
        <f>VLOOKUP(B13,HARGA!$B$3:$D$137,3,FALSE)</f>
        <v>80000</v>
      </c>
    </row>
    <row r="14" spans="1:7" x14ac:dyDescent="0.25">
      <c r="A14" s="37"/>
      <c r="B14" s="30" t="s">
        <v>98</v>
      </c>
      <c r="C14" s="17"/>
      <c r="D14" s="17"/>
      <c r="E14" s="35"/>
      <c r="F14" s="17"/>
      <c r="G14" s="1">
        <f>VLOOKUP(B14,HARGA!$B$3:$D$137,3,FALSE)</f>
        <v>450000</v>
      </c>
    </row>
    <row r="15" spans="1:7" x14ac:dyDescent="0.25">
      <c r="A15" s="37" t="s">
        <v>92</v>
      </c>
      <c r="B15" s="30" t="s">
        <v>41</v>
      </c>
      <c r="C15" s="17"/>
      <c r="D15" s="17"/>
      <c r="E15" s="35">
        <v>1</v>
      </c>
      <c r="F15" s="17" t="s">
        <v>252</v>
      </c>
      <c r="G15" s="1">
        <f>VLOOKUP(B15,HARGA!$B$3:$D$137,3,FALSE)*E15</f>
        <v>650000</v>
      </c>
    </row>
    <row r="16" spans="1:7" x14ac:dyDescent="0.25">
      <c r="A16" s="37"/>
      <c r="B16" s="30" t="s">
        <v>93</v>
      </c>
      <c r="C16" s="17"/>
      <c r="D16" s="17"/>
      <c r="E16" s="35">
        <v>1</v>
      </c>
      <c r="F16" s="17" t="s">
        <v>252</v>
      </c>
      <c r="G16" s="1">
        <f>VLOOKUP(B16,HARGA!$B$3:$D$137,3,FALSE)*E16</f>
        <v>10000</v>
      </c>
    </row>
    <row r="17" spans="1:7" x14ac:dyDescent="0.25">
      <c r="A17" s="37" t="s">
        <v>88</v>
      </c>
      <c r="B17" s="30" t="s">
        <v>95</v>
      </c>
      <c r="C17" s="17"/>
      <c r="D17" s="17"/>
      <c r="E17" s="35">
        <v>6</v>
      </c>
      <c r="F17" s="17" t="s">
        <v>252</v>
      </c>
      <c r="G17" s="1">
        <f>VLOOKUP(B17,HARGA!$B$3:$D$137,3,FALSE)*E17</f>
        <v>42000</v>
      </c>
    </row>
    <row r="18" spans="1:7" x14ac:dyDescent="0.25">
      <c r="A18" s="37"/>
      <c r="B18" s="30" t="s">
        <v>89</v>
      </c>
      <c r="C18" s="17"/>
      <c r="D18" s="17"/>
      <c r="E18" s="35">
        <v>10</v>
      </c>
      <c r="F18" s="17" t="s">
        <v>252</v>
      </c>
      <c r="G18" s="1">
        <f>VLOOKUP(B18,HARGA!$B$3:$D$137,3,FALSE)*E18</f>
        <v>40000</v>
      </c>
    </row>
    <row r="19" spans="1:7" x14ac:dyDescent="0.25">
      <c r="A19" s="37"/>
      <c r="B19" s="30"/>
      <c r="C19" s="17"/>
      <c r="D19" s="17"/>
      <c r="E19" s="35"/>
      <c r="F19" s="17"/>
      <c r="G19" s="1"/>
    </row>
    <row r="20" spans="1:7" ht="15.75" x14ac:dyDescent="0.25">
      <c r="A20" s="11" t="s">
        <v>9</v>
      </c>
      <c r="B20" s="11"/>
      <c r="C20" s="11"/>
      <c r="D20" s="11"/>
      <c r="E20" s="11"/>
      <c r="F20" s="11"/>
      <c r="G20" s="44">
        <f>SUM(G12:G18)</f>
        <v>1392000</v>
      </c>
    </row>
    <row r="21" spans="1:7" ht="15.75" x14ac:dyDescent="0.25">
      <c r="A21" s="11"/>
      <c r="B21" s="11"/>
      <c r="C21" s="11"/>
      <c r="D21" s="11"/>
      <c r="E21" s="11"/>
      <c r="F21" s="11"/>
      <c r="G21" s="14"/>
    </row>
    <row r="22" spans="1:7" ht="15.75" x14ac:dyDescent="0.25">
      <c r="A22" s="11" t="s">
        <v>12</v>
      </c>
      <c r="B22" s="11"/>
      <c r="C22" s="11" t="s">
        <v>11</v>
      </c>
      <c r="D22" s="11"/>
      <c r="E22" s="11"/>
      <c r="F22" s="11"/>
      <c r="G22" s="11"/>
    </row>
    <row r="23" spans="1:7" ht="15.75" x14ac:dyDescent="0.25">
      <c r="A23" s="11" t="s">
        <v>10</v>
      </c>
      <c r="B23" s="11"/>
      <c r="C23" s="16" t="s">
        <v>13</v>
      </c>
      <c r="D23" s="16" t="str">
        <f>PROPER([1]!terbilang(G20))&amp;"Rupiah"</f>
        <v>Satu Juta Tigaratus Sembilanpuluh Dua Ribu Rupiah</v>
      </c>
      <c r="E23" s="11"/>
      <c r="F23" s="11"/>
      <c r="G23" s="11"/>
    </row>
    <row r="24" spans="1:7" ht="8.25" customHeight="1" x14ac:dyDescent="0.25">
      <c r="A24" s="11"/>
      <c r="B24" s="11"/>
      <c r="C24" s="11"/>
      <c r="D24" s="11"/>
      <c r="E24" s="11"/>
      <c r="F24" s="11"/>
      <c r="G24" s="11"/>
    </row>
    <row r="25" spans="1:7" ht="15.75" x14ac:dyDescent="0.25">
      <c r="A25" s="11"/>
      <c r="B25" s="11"/>
      <c r="C25" s="11"/>
      <c r="D25" s="11"/>
      <c r="E25" s="11"/>
      <c r="F25" s="11"/>
      <c r="G25" s="11" t="s">
        <v>16</v>
      </c>
    </row>
    <row r="26" spans="1:7" ht="15.75" x14ac:dyDescent="0.25">
      <c r="A26" s="11"/>
      <c r="B26" s="11"/>
      <c r="C26" s="11"/>
      <c r="D26" s="11"/>
      <c r="E26" s="11"/>
      <c r="F26" s="11"/>
      <c r="G26" s="11"/>
    </row>
    <row r="27" spans="1:7" ht="15.75" x14ac:dyDescent="0.25">
      <c r="A27" s="11"/>
      <c r="B27" s="11"/>
      <c r="C27" s="11"/>
      <c r="D27" s="11"/>
      <c r="E27" s="11"/>
      <c r="F27" s="11"/>
      <c r="G27" s="11"/>
    </row>
    <row r="28" spans="1:7" ht="15.75" x14ac:dyDescent="0.25">
      <c r="A28" s="11"/>
      <c r="B28" s="11"/>
      <c r="C28" s="11"/>
      <c r="D28" s="11"/>
      <c r="E28" s="11"/>
      <c r="F28" s="11"/>
      <c r="G28" s="11" t="s">
        <v>17</v>
      </c>
    </row>
    <row r="29" spans="1:7" ht="15.75" x14ac:dyDescent="0.25">
      <c r="A29" s="11"/>
      <c r="B29" s="11"/>
      <c r="C29" s="11"/>
      <c r="D29" s="11"/>
      <c r="E29" s="11"/>
      <c r="F29" s="11"/>
      <c r="G29" s="11"/>
    </row>
    <row r="30" spans="1:7" ht="15.75" x14ac:dyDescent="0.25">
      <c r="A30" s="28"/>
      <c r="B30" s="28"/>
      <c r="C30" s="28"/>
      <c r="D30" s="28"/>
      <c r="E30" s="28"/>
      <c r="F30" s="28"/>
      <c r="G30" s="28"/>
    </row>
    <row r="31" spans="1:7" ht="15.75" x14ac:dyDescent="0.25">
      <c r="A31" s="11"/>
      <c r="B31" s="11"/>
      <c r="C31" s="11"/>
      <c r="D31" s="11"/>
      <c r="E31" s="11"/>
      <c r="F31" s="11"/>
      <c r="G31" s="11"/>
    </row>
    <row r="33" spans="1:7" ht="18.75" x14ac:dyDescent="0.3">
      <c r="A33" s="56" t="str">
        <f>A1</f>
        <v>AL- QOYYUM ROYAL CLINIC</v>
      </c>
      <c r="B33" s="56"/>
      <c r="C33" s="56"/>
      <c r="D33" s="56"/>
      <c r="E33" s="56"/>
      <c r="F33" s="56"/>
      <c r="G33" s="56"/>
    </row>
    <row r="34" spans="1:7" x14ac:dyDescent="0.25">
      <c r="A34" s="53" t="s">
        <v>50</v>
      </c>
      <c r="B34" s="53"/>
      <c r="C34" s="53"/>
      <c r="D34" s="53"/>
      <c r="E34" s="53"/>
      <c r="F34" s="53"/>
      <c r="G34" s="53"/>
    </row>
    <row r="35" spans="1:7" ht="15.75" thickBot="1" x14ac:dyDescent="0.3">
      <c r="A35" s="53" t="s">
        <v>286</v>
      </c>
      <c r="B35" s="53"/>
      <c r="C35" s="53"/>
      <c r="D35" s="53"/>
      <c r="E35" s="53"/>
      <c r="F35" s="53"/>
      <c r="G35" s="53"/>
    </row>
    <row r="36" spans="1:7" ht="19.5" thickTop="1" x14ac:dyDescent="0.3">
      <c r="A36" s="54" t="s">
        <v>0</v>
      </c>
      <c r="B36" s="54"/>
      <c r="C36" s="54"/>
      <c r="D36" s="54"/>
      <c r="E36" s="54"/>
      <c r="F36" s="54"/>
      <c r="G36" s="54"/>
    </row>
    <row r="37" spans="1:7" ht="15.75" x14ac:dyDescent="0.25">
      <c r="A37" s="55" t="str">
        <f>A6</f>
        <v>NO :339/0825</v>
      </c>
      <c r="B37" s="55"/>
      <c r="C37" s="55"/>
      <c r="D37" s="55"/>
      <c r="E37" s="55"/>
      <c r="F37" s="55"/>
      <c r="G37" s="55"/>
    </row>
    <row r="38" spans="1:7" ht="15.75" x14ac:dyDescent="0.25">
      <c r="A38" s="11"/>
      <c r="B38" s="11"/>
      <c r="C38" s="11"/>
      <c r="D38" s="11"/>
      <c r="E38" s="11"/>
      <c r="F38" s="11"/>
      <c r="G38" s="11"/>
    </row>
    <row r="39" spans="1:7" ht="15.75" x14ac:dyDescent="0.25">
      <c r="A39" s="11" t="s">
        <v>1</v>
      </c>
      <c r="B39" s="12"/>
      <c r="C39" s="11" t="s">
        <v>13</v>
      </c>
      <c r="D39" s="11" t="str">
        <f>D8</f>
        <v>Sintia Nur Ningrum</v>
      </c>
      <c r="E39" s="11"/>
      <c r="F39" s="11"/>
      <c r="G39" s="13">
        <f ca="1">TODAY()</f>
        <v>46301</v>
      </c>
    </row>
    <row r="40" spans="1:7" ht="15.75" x14ac:dyDescent="0.25">
      <c r="A40" s="11" t="s">
        <v>2</v>
      </c>
      <c r="B40" s="11"/>
      <c r="C40" s="11" t="s">
        <v>13</v>
      </c>
      <c r="D40" s="11" t="str">
        <f>D39</f>
        <v>Sintia Nur Ningrum</v>
      </c>
      <c r="E40" s="11"/>
      <c r="F40" s="11"/>
      <c r="G40" s="11"/>
    </row>
    <row r="41" spans="1:7" ht="15.75" x14ac:dyDescent="0.25">
      <c r="A41" s="11" t="s">
        <v>3</v>
      </c>
      <c r="B41" s="11"/>
      <c r="C41" s="11" t="s">
        <v>15</v>
      </c>
      <c r="D41" s="11" t="s">
        <v>48</v>
      </c>
      <c r="E41" s="11"/>
      <c r="F41" s="11"/>
      <c r="G41" s="11"/>
    </row>
    <row r="42" spans="1:7" ht="15.75" x14ac:dyDescent="0.25">
      <c r="A42" s="11" t="s">
        <v>14</v>
      </c>
      <c r="B42" s="11"/>
      <c r="C42" s="11"/>
      <c r="D42" s="11"/>
      <c r="E42" s="11"/>
      <c r="F42" s="11"/>
      <c r="G42" s="11"/>
    </row>
    <row r="43" spans="1:7" x14ac:dyDescent="0.25">
      <c r="A43" s="37" t="s">
        <v>85</v>
      </c>
      <c r="B43" s="17" t="s">
        <v>6</v>
      </c>
      <c r="C43" s="17"/>
      <c r="D43" s="17"/>
      <c r="E43" s="17"/>
      <c r="F43" s="17"/>
      <c r="G43" s="1">
        <v>120000</v>
      </c>
    </row>
    <row r="44" spans="1:7" x14ac:dyDescent="0.25">
      <c r="A44" s="37"/>
      <c r="B44" s="17" t="s">
        <v>7</v>
      </c>
      <c r="C44" s="17"/>
      <c r="D44" s="17"/>
      <c r="E44" s="17"/>
      <c r="F44" s="17"/>
      <c r="G44" s="1">
        <v>80000</v>
      </c>
    </row>
    <row r="45" spans="1:7" x14ac:dyDescent="0.25">
      <c r="A45" s="37"/>
      <c r="B45" s="17" t="s">
        <v>90</v>
      </c>
      <c r="C45" s="17"/>
      <c r="D45" s="17"/>
      <c r="E45" s="35"/>
      <c r="F45" s="17"/>
      <c r="G45" s="1">
        <v>450000</v>
      </c>
    </row>
    <row r="46" spans="1:7" x14ac:dyDescent="0.25">
      <c r="A46" s="37"/>
      <c r="B46" s="17" t="s">
        <v>91</v>
      </c>
      <c r="C46" s="17"/>
      <c r="D46" s="17"/>
      <c r="E46" s="35"/>
      <c r="F46" s="17"/>
      <c r="G46" s="38">
        <v>450000</v>
      </c>
    </row>
    <row r="47" spans="1:7" x14ac:dyDescent="0.25">
      <c r="A47" s="37" t="s">
        <v>88</v>
      </c>
      <c r="B47" s="17" t="s">
        <v>95</v>
      </c>
      <c r="C47" s="17"/>
      <c r="D47" s="17"/>
      <c r="E47" s="35">
        <v>10</v>
      </c>
      <c r="F47" s="17" t="s">
        <v>73</v>
      </c>
      <c r="G47" s="21">
        <v>20000</v>
      </c>
    </row>
    <row r="48" spans="1:7" x14ac:dyDescent="0.25">
      <c r="A48" s="37"/>
      <c r="B48" s="17" t="s">
        <v>30</v>
      </c>
      <c r="C48" s="17"/>
      <c r="D48" s="17"/>
      <c r="E48" s="35">
        <v>10</v>
      </c>
      <c r="F48" s="17" t="s">
        <v>73</v>
      </c>
      <c r="G48" s="21">
        <v>45000</v>
      </c>
    </row>
    <row r="49" spans="1:7" x14ac:dyDescent="0.25">
      <c r="A49" s="37"/>
      <c r="B49" s="17" t="s">
        <v>89</v>
      </c>
      <c r="C49" s="17"/>
      <c r="D49" s="17"/>
      <c r="E49" s="35">
        <v>10</v>
      </c>
      <c r="F49" s="17" t="s">
        <v>73</v>
      </c>
      <c r="G49" s="21">
        <v>22000</v>
      </c>
    </row>
    <row r="50" spans="1:7" ht="15.75" x14ac:dyDescent="0.25">
      <c r="A50" s="37" t="s">
        <v>92</v>
      </c>
      <c r="B50" s="11" t="s">
        <v>41</v>
      </c>
      <c r="C50" s="11"/>
      <c r="D50" s="11"/>
      <c r="E50" s="11">
        <v>1</v>
      </c>
      <c r="F50" s="11" t="s">
        <v>73</v>
      </c>
      <c r="G50" s="14">
        <v>650000</v>
      </c>
    </row>
    <row r="51" spans="1:7" ht="15.75" x14ac:dyDescent="0.25">
      <c r="A51" s="11"/>
      <c r="B51" s="11" t="s">
        <v>93</v>
      </c>
      <c r="C51" s="11"/>
      <c r="D51" s="11"/>
      <c r="E51" s="11">
        <v>1</v>
      </c>
      <c r="F51" s="11" t="s">
        <v>73</v>
      </c>
      <c r="G51" s="14">
        <v>5000</v>
      </c>
    </row>
    <row r="52" spans="1:7" ht="18" x14ac:dyDescent="0.4">
      <c r="A52" s="11"/>
      <c r="B52" s="11" t="s">
        <v>94</v>
      </c>
      <c r="C52" s="11"/>
      <c r="D52" s="11"/>
      <c r="E52" s="11">
        <v>1</v>
      </c>
      <c r="F52" s="11" t="s">
        <v>73</v>
      </c>
      <c r="G52" s="39">
        <v>10000</v>
      </c>
    </row>
    <row r="53" spans="1:7" ht="15.75" x14ac:dyDescent="0.25">
      <c r="A53" s="11"/>
      <c r="B53" s="11"/>
      <c r="C53" s="11"/>
      <c r="D53" s="11"/>
      <c r="E53" s="11"/>
      <c r="F53" s="11"/>
      <c r="G53" s="14">
        <f>SUM(G43:G52)</f>
        <v>1852000</v>
      </c>
    </row>
    <row r="54" spans="1:7" ht="15.75" x14ac:dyDescent="0.25">
      <c r="A54" s="11" t="s">
        <v>12</v>
      </c>
      <c r="B54" s="11"/>
      <c r="C54" s="11" t="s">
        <v>11</v>
      </c>
      <c r="D54" s="11" t="s">
        <v>53</v>
      </c>
      <c r="E54" s="11"/>
      <c r="F54" s="11"/>
      <c r="G54" s="11"/>
    </row>
    <row r="55" spans="1:7" ht="15.75" x14ac:dyDescent="0.25">
      <c r="A55" s="11" t="s">
        <v>10</v>
      </c>
      <c r="B55" s="11"/>
      <c r="C55" s="16" t="s">
        <v>13</v>
      </c>
      <c r="D55" s="16" t="s">
        <v>96</v>
      </c>
      <c r="E55" s="11"/>
      <c r="F55" s="11"/>
      <c r="G55" s="11"/>
    </row>
    <row r="56" spans="1:7" ht="15.75" x14ac:dyDescent="0.25">
      <c r="A56" s="11"/>
      <c r="B56" s="11"/>
      <c r="C56" s="11"/>
      <c r="D56" s="11"/>
      <c r="E56" s="11"/>
      <c r="F56" s="11"/>
      <c r="G56" s="11" t="s">
        <v>16</v>
      </c>
    </row>
    <row r="57" spans="1:7" ht="15.75" x14ac:dyDescent="0.25">
      <c r="A57" s="11"/>
      <c r="B57" s="11"/>
      <c r="C57" s="11"/>
      <c r="D57" s="11"/>
      <c r="E57" s="11"/>
      <c r="F57" s="11"/>
      <c r="G57" s="11"/>
    </row>
    <row r="58" spans="1:7" ht="15.75" x14ac:dyDescent="0.25">
      <c r="A58" s="11"/>
      <c r="B58" s="11"/>
      <c r="C58" s="11"/>
      <c r="D58" s="11"/>
      <c r="E58" s="11"/>
      <c r="F58" s="11"/>
      <c r="G58" s="11"/>
    </row>
    <row r="59" spans="1:7" ht="15.75" x14ac:dyDescent="0.25">
      <c r="A59" s="11"/>
      <c r="B59" s="11"/>
      <c r="C59" s="11"/>
      <c r="D59" s="11"/>
      <c r="E59" s="11"/>
      <c r="F59" s="11"/>
      <c r="G59" s="11" t="s">
        <v>17</v>
      </c>
    </row>
    <row r="60" spans="1:7" ht="15.75" x14ac:dyDescent="0.25">
      <c r="A60" s="11"/>
      <c r="B60" s="11"/>
      <c r="C60" s="11"/>
      <c r="D60" s="11"/>
      <c r="E60" s="11"/>
      <c r="F60" s="11"/>
      <c r="G60" s="11"/>
    </row>
  </sheetData>
  <mergeCells count="11">
    <mergeCell ref="A6:G6"/>
    <mergeCell ref="A1:G1"/>
    <mergeCell ref="A2:G2"/>
    <mergeCell ref="A3:G3"/>
    <mergeCell ref="A4:G4"/>
    <mergeCell ref="A5:G5"/>
    <mergeCell ref="A33:G33"/>
    <mergeCell ref="A34:G34"/>
    <mergeCell ref="A35:G35"/>
    <mergeCell ref="A36:G36"/>
    <mergeCell ref="A37:G37"/>
  </mergeCells>
  <pageMargins left="0.23622047244094491" right="0.23622047244094491" top="0.35433070866141736" bottom="0" header="0.31496062992125984" footer="0.31496062992125984"/>
  <pageSetup paperSize="9" orientation="portrait" horizontalDpi="18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57F73-EAF6-410B-ABF6-41B90FDAEBFC}">
  <dimension ref="A1:G77"/>
  <sheetViews>
    <sheetView workbookViewId="0">
      <selection activeCell="G11" sqref="G11:G37"/>
    </sheetView>
  </sheetViews>
  <sheetFormatPr defaultRowHeight="15" x14ac:dyDescent="0.25"/>
  <cols>
    <col min="3" max="3" width="5.85546875" customWidth="1"/>
    <col min="4" max="4" width="15" customWidth="1"/>
    <col min="5" max="5" width="7" customWidth="1"/>
    <col min="6" max="6" width="31.28515625" customWidth="1"/>
    <col min="7" max="7" width="22.5703125" customWidth="1"/>
  </cols>
  <sheetData>
    <row r="1" spans="1:7" ht="18.75" x14ac:dyDescent="0.3">
      <c r="A1" s="56" t="s">
        <v>75</v>
      </c>
      <c r="B1" s="56"/>
      <c r="C1" s="56"/>
      <c r="D1" s="56"/>
      <c r="E1" s="56"/>
      <c r="F1" s="56"/>
      <c r="G1" s="56"/>
    </row>
    <row r="2" spans="1:7" ht="12.75" customHeight="1" x14ac:dyDescent="0.25">
      <c r="A2" s="53" t="s">
        <v>50</v>
      </c>
      <c r="B2" s="53"/>
      <c r="C2" s="53"/>
      <c r="D2" s="53"/>
      <c r="E2" s="53"/>
      <c r="F2" s="53"/>
      <c r="G2" s="53"/>
    </row>
    <row r="3" spans="1:7" ht="12" customHeight="1" thickBot="1" x14ac:dyDescent="0.3">
      <c r="A3" s="53" t="s">
        <v>286</v>
      </c>
      <c r="B3" s="53"/>
      <c r="C3" s="53"/>
      <c r="D3" s="53"/>
      <c r="E3" s="53"/>
      <c r="F3" s="53"/>
      <c r="G3" s="53"/>
    </row>
    <row r="4" spans="1:7" ht="19.5" thickTop="1" x14ac:dyDescent="0.3">
      <c r="A4" s="54" t="s">
        <v>0</v>
      </c>
      <c r="B4" s="54"/>
      <c r="C4" s="54"/>
      <c r="D4" s="54"/>
      <c r="E4" s="54"/>
      <c r="F4" s="54"/>
      <c r="G4" s="54"/>
    </row>
    <row r="5" spans="1:7" ht="15.75" x14ac:dyDescent="0.25">
      <c r="A5" s="55" t="str">
        <f>'KWITANSI FULL '!A6:G6</f>
        <v>NO : 367/1026</v>
      </c>
      <c r="B5" s="55"/>
      <c r="C5" s="55"/>
      <c r="D5" s="55"/>
      <c r="E5" s="55"/>
      <c r="F5" s="55"/>
      <c r="G5" s="55"/>
    </row>
    <row r="6" spans="1:7" ht="4.5" customHeight="1" x14ac:dyDescent="0.25">
      <c r="A6" s="11"/>
      <c r="B6" s="11"/>
      <c r="C6" s="11"/>
      <c r="D6" s="11"/>
      <c r="E6" s="11"/>
      <c r="F6" s="11"/>
      <c r="G6" s="11"/>
    </row>
    <row r="7" spans="1:7" ht="15.75" x14ac:dyDescent="0.25">
      <c r="A7" s="11" t="s">
        <v>1</v>
      </c>
      <c r="B7" s="12"/>
      <c r="C7" s="11" t="s">
        <v>195</v>
      </c>
      <c r="D7" s="11" t="s">
        <v>292</v>
      </c>
      <c r="E7" s="11"/>
      <c r="F7" s="11"/>
      <c r="G7" s="13">
        <f ca="1">TODAY()</f>
        <v>46301</v>
      </c>
    </row>
    <row r="8" spans="1:7" ht="15.75" x14ac:dyDescent="0.25">
      <c r="A8" s="11" t="s">
        <v>2</v>
      </c>
      <c r="B8" s="11"/>
      <c r="C8" s="11" t="s">
        <v>195</v>
      </c>
      <c r="D8" s="11" t="s">
        <v>292</v>
      </c>
      <c r="E8" s="11"/>
      <c r="F8" s="11"/>
      <c r="G8" s="11"/>
    </row>
    <row r="9" spans="1:7" ht="15.75" x14ac:dyDescent="0.25">
      <c r="A9" s="11" t="s">
        <v>3</v>
      </c>
      <c r="B9" s="11"/>
      <c r="C9" s="11" t="s">
        <v>196</v>
      </c>
      <c r="D9" s="11" t="s">
        <v>197</v>
      </c>
      <c r="E9" s="11"/>
      <c r="F9" s="11"/>
      <c r="G9" s="11"/>
    </row>
    <row r="10" spans="1:7" ht="15.75" x14ac:dyDescent="0.25">
      <c r="A10" s="11" t="s">
        <v>14</v>
      </c>
      <c r="B10" s="11"/>
      <c r="C10" s="11"/>
      <c r="D10" s="11"/>
      <c r="E10" s="11"/>
      <c r="F10" s="11"/>
      <c r="G10" s="11"/>
    </row>
    <row r="11" spans="1:7" ht="15.75" x14ac:dyDescent="0.25">
      <c r="A11" s="37" t="s">
        <v>85</v>
      </c>
      <c r="B11" s="11" t="s">
        <v>6</v>
      </c>
      <c r="C11" s="11"/>
      <c r="D11" s="11"/>
      <c r="E11" s="11"/>
      <c r="F11" s="11"/>
      <c r="G11" s="1">
        <f>VLOOKUP(B11,HARGA!$B$3:$D$137,3,FALSE)</f>
        <v>120000</v>
      </c>
    </row>
    <row r="12" spans="1:7" ht="15.75" x14ac:dyDescent="0.25">
      <c r="A12" s="11"/>
      <c r="B12" s="11" t="s">
        <v>106</v>
      </c>
      <c r="C12" s="11"/>
      <c r="D12" s="11"/>
      <c r="E12" s="11"/>
      <c r="F12" s="11"/>
      <c r="G12" s="1">
        <v>1500000</v>
      </c>
    </row>
    <row r="13" spans="1:7" ht="15.75" x14ac:dyDescent="0.25">
      <c r="A13" s="11"/>
      <c r="B13" s="11" t="s">
        <v>107</v>
      </c>
      <c r="C13" s="11"/>
      <c r="D13" s="11"/>
      <c r="E13" s="11"/>
      <c r="F13" s="11"/>
      <c r="G13" s="1">
        <v>900000</v>
      </c>
    </row>
    <row r="14" spans="1:7" ht="15.75" x14ac:dyDescent="0.25">
      <c r="A14" s="11"/>
      <c r="B14" s="11" t="s">
        <v>157</v>
      </c>
      <c r="C14" s="11"/>
      <c r="D14" s="11"/>
      <c r="E14" s="11"/>
      <c r="F14" s="11"/>
      <c r="G14" s="1">
        <v>2100000</v>
      </c>
    </row>
    <row r="15" spans="1:7" ht="15.75" x14ac:dyDescent="0.25">
      <c r="A15" s="11"/>
      <c r="B15" s="11" t="s">
        <v>160</v>
      </c>
      <c r="C15" s="11"/>
      <c r="D15" s="11"/>
      <c r="E15" s="11"/>
      <c r="F15" s="11"/>
      <c r="G15" s="1">
        <v>400000</v>
      </c>
    </row>
    <row r="16" spans="1:7" ht="15.75" x14ac:dyDescent="0.25">
      <c r="A16" s="11"/>
      <c r="B16" s="11" t="s">
        <v>161</v>
      </c>
      <c r="C16" s="11"/>
      <c r="D16" s="11"/>
      <c r="E16" s="11"/>
      <c r="F16" s="11"/>
      <c r="G16" s="1">
        <v>25000</v>
      </c>
    </row>
    <row r="17" spans="1:7" ht="15.75" x14ac:dyDescent="0.25">
      <c r="A17" s="37" t="s">
        <v>287</v>
      </c>
      <c r="B17" s="11" t="s">
        <v>288</v>
      </c>
      <c r="C17" s="11"/>
      <c r="D17" s="11"/>
      <c r="E17" s="11"/>
      <c r="F17" s="11"/>
      <c r="G17" s="1">
        <v>57000</v>
      </c>
    </row>
    <row r="18" spans="1:7" ht="15.75" x14ac:dyDescent="0.25">
      <c r="A18" s="37"/>
      <c r="B18" s="11" t="s">
        <v>289</v>
      </c>
      <c r="C18" s="11"/>
      <c r="D18" s="11"/>
      <c r="E18" s="11"/>
      <c r="F18" s="11"/>
      <c r="G18" s="1">
        <v>277000</v>
      </c>
    </row>
    <row r="19" spans="1:7" ht="15.75" x14ac:dyDescent="0.25">
      <c r="A19" s="37"/>
      <c r="B19" s="11" t="s">
        <v>290</v>
      </c>
      <c r="C19" s="11"/>
      <c r="D19" s="11"/>
      <c r="E19" s="11"/>
      <c r="F19" s="11"/>
      <c r="G19" s="1">
        <v>176000</v>
      </c>
    </row>
    <row r="20" spans="1:7" x14ac:dyDescent="0.25">
      <c r="A20" s="37" t="s">
        <v>88</v>
      </c>
      <c r="B20" s="17" t="s">
        <v>95</v>
      </c>
      <c r="C20" s="17"/>
      <c r="D20" s="17"/>
      <c r="E20" s="17">
        <v>10</v>
      </c>
      <c r="F20" s="17" t="s">
        <v>73</v>
      </c>
      <c r="G20" s="1">
        <f>VLOOKUP(B20,HARGA!$B$3:$D$137,3,FALSE)*E20</f>
        <v>70000</v>
      </c>
    </row>
    <row r="21" spans="1:7" ht="15.75" x14ac:dyDescent="0.25">
      <c r="A21" s="37"/>
      <c r="B21" s="11" t="s">
        <v>68</v>
      </c>
      <c r="C21" s="17"/>
      <c r="D21" s="17"/>
      <c r="E21" s="17">
        <v>10</v>
      </c>
      <c r="F21" s="17" t="s">
        <v>73</v>
      </c>
      <c r="G21" s="1">
        <f>VLOOKUP(B21,HARGA!$B$3:$D$137,3,FALSE)*E21</f>
        <v>170000</v>
      </c>
    </row>
    <row r="22" spans="1:7" x14ac:dyDescent="0.25">
      <c r="A22" s="37"/>
      <c r="B22" s="17" t="s">
        <v>253</v>
      </c>
      <c r="C22" s="17"/>
      <c r="D22" s="17"/>
      <c r="E22" s="17">
        <v>30</v>
      </c>
      <c r="F22" s="17" t="s">
        <v>73</v>
      </c>
      <c r="G22" s="1">
        <f>VLOOKUP(B22,HARGA!$B$3:$D$137,3,FALSE)*E22</f>
        <v>225000</v>
      </c>
    </row>
    <row r="23" spans="1:7" x14ac:dyDescent="0.25">
      <c r="A23" s="37"/>
      <c r="B23" s="17" t="s">
        <v>89</v>
      </c>
      <c r="C23" s="17"/>
      <c r="D23" s="17"/>
      <c r="E23" s="17">
        <v>10</v>
      </c>
      <c r="F23" s="17" t="s">
        <v>73</v>
      </c>
      <c r="G23" s="1">
        <f>VLOOKUP(B23,HARGA!$B$3:$D$137,3,FALSE)*E23</f>
        <v>40000</v>
      </c>
    </row>
    <row r="24" spans="1:7" x14ac:dyDescent="0.25">
      <c r="A24" s="17"/>
      <c r="B24" s="17" t="s">
        <v>154</v>
      </c>
      <c r="C24" s="17"/>
      <c r="D24" s="17"/>
      <c r="E24" s="17">
        <v>1</v>
      </c>
      <c r="F24" s="17" t="s">
        <v>104</v>
      </c>
      <c r="G24" s="1">
        <f>VLOOKUP(B24,HARGA!$B$59:$D$85,3,FALSE)</f>
        <v>45000</v>
      </c>
    </row>
    <row r="25" spans="1:7" x14ac:dyDescent="0.25">
      <c r="A25" s="17"/>
      <c r="B25" s="17" t="s">
        <v>103</v>
      </c>
      <c r="C25" s="17"/>
      <c r="D25" s="17"/>
      <c r="E25" s="17">
        <v>1</v>
      </c>
      <c r="F25" s="17" t="s">
        <v>104</v>
      </c>
      <c r="G25" s="1">
        <f>VLOOKUP(B25,HARGA!$B$3:$D$137,3,FALSE)*E25</f>
        <v>10000</v>
      </c>
    </row>
    <row r="26" spans="1:7" x14ac:dyDescent="0.25">
      <c r="A26" s="17"/>
      <c r="B26" s="17" t="s">
        <v>156</v>
      </c>
      <c r="C26" s="17"/>
      <c r="D26" s="17"/>
      <c r="E26" s="17">
        <v>1</v>
      </c>
      <c r="F26" s="17" t="s">
        <v>104</v>
      </c>
      <c r="G26" s="1">
        <f>VLOOKUP(B26,HARGA!$B$3:$D$137,3,FALSE)*E26</f>
        <v>20000</v>
      </c>
    </row>
    <row r="27" spans="1:7" x14ac:dyDescent="0.25">
      <c r="A27" s="37" t="s">
        <v>105</v>
      </c>
      <c r="B27" s="17" t="s">
        <v>158</v>
      </c>
      <c r="C27" s="17"/>
      <c r="D27" s="17"/>
      <c r="E27" s="17">
        <v>1</v>
      </c>
      <c r="F27" s="17" t="s">
        <v>73</v>
      </c>
      <c r="G27" s="1">
        <f>VLOOKUP(B27,HARGA!$B$3:$D$137,3,FALSE)*E27</f>
        <v>5000</v>
      </c>
    </row>
    <row r="28" spans="1:7" x14ac:dyDescent="0.25">
      <c r="A28" s="17"/>
      <c r="B28" s="17" t="s">
        <v>108</v>
      </c>
      <c r="C28" s="17"/>
      <c r="D28" s="17"/>
      <c r="E28" s="17">
        <v>4</v>
      </c>
      <c r="F28" s="17" t="s">
        <v>73</v>
      </c>
      <c r="G28" s="1">
        <f>VLOOKUP(B28,HARGA!$B$3:$D$137,3,FALSE)*E28</f>
        <v>40000</v>
      </c>
    </row>
    <row r="29" spans="1:7" x14ac:dyDescent="0.25">
      <c r="A29" s="17"/>
      <c r="B29" s="17" t="s">
        <v>109</v>
      </c>
      <c r="C29" s="17"/>
      <c r="D29" s="17"/>
      <c r="E29" s="17">
        <v>1</v>
      </c>
      <c r="F29" s="17" t="s">
        <v>73</v>
      </c>
      <c r="G29" s="1">
        <v>15000</v>
      </c>
    </row>
    <row r="30" spans="1:7" x14ac:dyDescent="0.25">
      <c r="A30" s="17"/>
      <c r="B30" s="17" t="s">
        <v>86</v>
      </c>
      <c r="C30" s="17"/>
      <c r="D30" s="17"/>
      <c r="E30" s="17">
        <v>1</v>
      </c>
      <c r="F30" s="17" t="s">
        <v>73</v>
      </c>
      <c r="G30" s="1">
        <v>10000</v>
      </c>
    </row>
    <row r="31" spans="1:7" x14ac:dyDescent="0.25">
      <c r="A31" s="17"/>
      <c r="B31" s="17" t="s">
        <v>110</v>
      </c>
      <c r="C31" s="17"/>
      <c r="D31" s="17"/>
      <c r="E31" s="17">
        <v>1</v>
      </c>
      <c r="F31" s="17" t="s">
        <v>73</v>
      </c>
      <c r="G31" s="1">
        <v>5000</v>
      </c>
    </row>
    <row r="32" spans="1:7" x14ac:dyDescent="0.25">
      <c r="A32" s="17"/>
      <c r="B32" s="17" t="s">
        <v>162</v>
      </c>
      <c r="C32" s="17"/>
      <c r="D32" s="17"/>
      <c r="E32" s="17">
        <v>1</v>
      </c>
      <c r="F32" s="17" t="s">
        <v>73</v>
      </c>
      <c r="G32" s="1">
        <v>5000</v>
      </c>
    </row>
    <row r="33" spans="1:7" x14ac:dyDescent="0.25">
      <c r="A33" s="17"/>
      <c r="B33" s="17" t="s">
        <v>163</v>
      </c>
      <c r="C33" s="17"/>
      <c r="D33" s="17"/>
      <c r="E33" s="17">
        <v>1</v>
      </c>
      <c r="F33" s="17" t="s">
        <v>73</v>
      </c>
      <c r="G33" s="1">
        <v>5000</v>
      </c>
    </row>
    <row r="34" spans="1:7" x14ac:dyDescent="0.25">
      <c r="A34" s="17"/>
      <c r="B34" s="17" t="s">
        <v>111</v>
      </c>
      <c r="C34" s="17"/>
      <c r="D34" s="17"/>
      <c r="E34" s="17">
        <v>2</v>
      </c>
      <c r="F34" s="17" t="s">
        <v>73</v>
      </c>
      <c r="G34" s="1">
        <v>7000</v>
      </c>
    </row>
    <row r="35" spans="1:7" x14ac:dyDescent="0.25">
      <c r="A35" s="17"/>
      <c r="B35" s="17" t="s">
        <v>112</v>
      </c>
      <c r="C35" s="17"/>
      <c r="D35" s="17"/>
      <c r="E35" s="17">
        <v>1</v>
      </c>
      <c r="F35" s="17" t="s">
        <v>73</v>
      </c>
      <c r="G35" s="1">
        <v>20000</v>
      </c>
    </row>
    <row r="36" spans="1:7" x14ac:dyDescent="0.25">
      <c r="A36" s="17"/>
      <c r="B36" s="17" t="s">
        <v>113</v>
      </c>
      <c r="C36" s="17"/>
      <c r="D36" s="17"/>
      <c r="E36" s="17">
        <v>1</v>
      </c>
      <c r="F36" s="17" t="s">
        <v>73</v>
      </c>
      <c r="G36" s="1">
        <v>115000</v>
      </c>
    </row>
    <row r="37" spans="1:7" ht="17.25" x14ac:dyDescent="0.4">
      <c r="A37" s="37"/>
      <c r="B37" s="17" t="s">
        <v>93</v>
      </c>
      <c r="C37" s="17"/>
      <c r="D37" s="17"/>
      <c r="E37" s="35">
        <v>1</v>
      </c>
      <c r="F37" s="17" t="s">
        <v>73</v>
      </c>
      <c r="G37" s="27">
        <f>VLOOKUP(B37,HARGA!$B$3:$D$137,3,FALSE)*E37</f>
        <v>10000</v>
      </c>
    </row>
    <row r="38" spans="1:7" x14ac:dyDescent="0.25">
      <c r="A38" s="17"/>
      <c r="B38" s="17"/>
      <c r="C38" s="17"/>
      <c r="D38" s="17"/>
      <c r="E38" s="35"/>
      <c r="F38" s="17"/>
      <c r="G38" s="1"/>
    </row>
    <row r="39" spans="1:7" x14ac:dyDescent="0.25">
      <c r="A39" s="17"/>
      <c r="B39" s="17"/>
      <c r="C39" s="17"/>
      <c r="D39" s="17"/>
      <c r="E39" s="35"/>
      <c r="F39" s="17"/>
      <c r="G39" s="1"/>
    </row>
    <row r="40" spans="1:7" x14ac:dyDescent="0.25">
      <c r="A40" s="17"/>
      <c r="B40" s="17"/>
      <c r="C40" s="17"/>
      <c r="D40" s="17"/>
      <c r="E40" s="18"/>
      <c r="F40" s="17"/>
      <c r="G40" s="1"/>
    </row>
    <row r="41" spans="1:7" ht="15.75" x14ac:dyDescent="0.25">
      <c r="A41" s="11" t="s">
        <v>9</v>
      </c>
      <c r="B41" s="11"/>
      <c r="C41" s="11"/>
      <c r="D41" s="11"/>
      <c r="E41" s="11"/>
      <c r="F41" s="11"/>
      <c r="G41" s="15">
        <f>SUM(G11:G37)</f>
        <v>6372000</v>
      </c>
    </row>
    <row r="42" spans="1:7" ht="15.75" x14ac:dyDescent="0.25">
      <c r="A42" s="11"/>
      <c r="B42" s="11"/>
      <c r="C42" s="11"/>
      <c r="D42" s="11"/>
      <c r="E42" s="11"/>
      <c r="F42" s="11"/>
      <c r="G42" s="14"/>
    </row>
    <row r="43" spans="1:7" ht="15.75" x14ac:dyDescent="0.25">
      <c r="A43" s="11" t="s">
        <v>12</v>
      </c>
      <c r="B43" s="11"/>
      <c r="C43" s="11" t="s">
        <v>11</v>
      </c>
      <c r="D43" s="11" t="s">
        <v>53</v>
      </c>
      <c r="E43" s="11"/>
      <c r="F43" s="11"/>
      <c r="G43" s="11"/>
    </row>
    <row r="44" spans="1:7" ht="15.75" x14ac:dyDescent="0.25">
      <c r="A44" s="11" t="s">
        <v>10</v>
      </c>
      <c r="B44" s="11"/>
      <c r="C44" s="16" t="s">
        <v>13</v>
      </c>
      <c r="D44" s="16" t="str">
        <f>PROPER([1]!terbilang(G41))&amp;"Rupiah"</f>
        <v>Enam Juta Tigaratus Tujuhpuluh Dua Ribu Rupiah</v>
      </c>
      <c r="E44" s="11"/>
      <c r="F44" s="11"/>
      <c r="G44" s="11"/>
    </row>
    <row r="45" spans="1:7" ht="8.25" customHeight="1" x14ac:dyDescent="0.25">
      <c r="A45" s="11"/>
      <c r="B45" s="11"/>
      <c r="C45" s="11"/>
      <c r="D45" s="11"/>
      <c r="E45" s="11"/>
      <c r="F45" s="11"/>
      <c r="G45" s="11"/>
    </row>
    <row r="46" spans="1:7" ht="15.75" x14ac:dyDescent="0.25">
      <c r="A46" s="11"/>
      <c r="B46" s="11"/>
      <c r="C46" s="11"/>
      <c r="D46" s="11"/>
      <c r="E46" s="11"/>
      <c r="F46" s="11"/>
      <c r="G46" s="11" t="s">
        <v>16</v>
      </c>
    </row>
    <row r="47" spans="1:7" ht="15.75" x14ac:dyDescent="0.25">
      <c r="A47" s="11"/>
      <c r="B47" s="11"/>
      <c r="C47" s="11"/>
      <c r="D47" s="11"/>
      <c r="E47" s="11"/>
      <c r="F47" s="11"/>
      <c r="G47" s="11"/>
    </row>
    <row r="48" spans="1:7" ht="15.75" x14ac:dyDescent="0.25">
      <c r="A48" s="11"/>
      <c r="B48" s="11"/>
      <c r="C48" s="11"/>
      <c r="D48" s="11"/>
      <c r="E48" s="11"/>
      <c r="F48" s="11"/>
      <c r="G48" s="11"/>
    </row>
    <row r="49" spans="1:7" ht="15.75" x14ac:dyDescent="0.25">
      <c r="A49" s="11"/>
      <c r="B49" s="11"/>
      <c r="C49" s="11"/>
      <c r="D49" s="11"/>
      <c r="E49" s="11"/>
      <c r="F49" s="11"/>
      <c r="G49" s="11" t="s">
        <v>17</v>
      </c>
    </row>
    <row r="50" spans="1:7" ht="15.75" x14ac:dyDescent="0.25">
      <c r="A50" s="11"/>
      <c r="B50" s="11"/>
      <c r="C50" s="11"/>
      <c r="D50" s="11"/>
      <c r="E50" s="11"/>
      <c r="F50" s="11"/>
      <c r="G50" s="11"/>
    </row>
    <row r="51" spans="1:7" ht="15.75" x14ac:dyDescent="0.25">
      <c r="A51" s="11"/>
      <c r="B51" s="11"/>
      <c r="C51" s="11"/>
      <c r="D51" s="11"/>
      <c r="E51" s="11"/>
      <c r="F51" s="11"/>
      <c r="G51" s="11"/>
    </row>
    <row r="53" spans="1:7" ht="18.75" x14ac:dyDescent="0.3">
      <c r="A53" s="56"/>
      <c r="B53" s="56"/>
      <c r="C53" s="56"/>
      <c r="D53" s="56"/>
      <c r="E53" s="56"/>
      <c r="F53" s="56"/>
      <c r="G53" s="56"/>
    </row>
    <row r="54" spans="1:7" x14ac:dyDescent="0.25">
      <c r="A54" s="40"/>
      <c r="B54" s="40"/>
      <c r="C54" s="40"/>
      <c r="D54" s="40"/>
      <c r="E54" s="40"/>
      <c r="F54" s="40"/>
      <c r="G54" s="40"/>
    </row>
    <row r="55" spans="1:7" x14ac:dyDescent="0.25">
      <c r="A55" s="40"/>
      <c r="B55" s="40"/>
      <c r="C55" s="40"/>
      <c r="D55" s="40"/>
      <c r="E55" s="40"/>
      <c r="F55" s="40"/>
      <c r="G55" s="40"/>
    </row>
    <row r="56" spans="1:7" ht="18.75" x14ac:dyDescent="0.3">
      <c r="A56" s="41"/>
      <c r="B56" s="41"/>
      <c r="C56" s="41"/>
      <c r="D56" s="41"/>
      <c r="E56" s="41"/>
      <c r="F56" s="41"/>
      <c r="G56" s="41"/>
    </row>
    <row r="57" spans="1:7" ht="15.75" x14ac:dyDescent="0.25">
      <c r="A57" s="42"/>
      <c r="B57" s="42"/>
      <c r="C57" s="42"/>
      <c r="D57" s="42"/>
      <c r="E57" s="42"/>
      <c r="F57" s="42"/>
      <c r="G57" s="42"/>
    </row>
    <row r="58" spans="1:7" ht="15.75" x14ac:dyDescent="0.25">
      <c r="A58" s="11"/>
      <c r="B58" s="11"/>
      <c r="C58" s="11"/>
      <c r="D58" s="11"/>
      <c r="E58" s="11"/>
      <c r="F58" s="11"/>
      <c r="G58" s="11"/>
    </row>
    <row r="59" spans="1:7" ht="15.75" x14ac:dyDescent="0.25">
      <c r="A59" s="11"/>
      <c r="B59" s="12"/>
      <c r="C59" s="11"/>
      <c r="D59" s="11"/>
      <c r="E59" s="11"/>
      <c r="F59" s="11"/>
      <c r="G59" s="13"/>
    </row>
    <row r="60" spans="1:7" ht="15.75" x14ac:dyDescent="0.25">
      <c r="A60" s="11"/>
      <c r="B60" s="11"/>
      <c r="C60" s="11"/>
      <c r="D60" s="11"/>
      <c r="E60" s="11"/>
      <c r="F60" s="11"/>
      <c r="G60" s="11"/>
    </row>
    <row r="61" spans="1:7" ht="15.75" x14ac:dyDescent="0.25">
      <c r="A61" s="11"/>
      <c r="B61" s="11"/>
      <c r="C61" s="11"/>
      <c r="D61" s="11"/>
      <c r="E61" s="11"/>
      <c r="F61" s="11"/>
      <c r="G61" s="11"/>
    </row>
    <row r="62" spans="1:7" ht="15.75" x14ac:dyDescent="0.25">
      <c r="A62" s="11"/>
      <c r="B62" s="11"/>
      <c r="C62" s="11"/>
      <c r="D62" s="11"/>
      <c r="E62" s="11"/>
      <c r="F62" s="11"/>
      <c r="G62" s="11"/>
    </row>
    <row r="63" spans="1:7" x14ac:dyDescent="0.25">
      <c r="A63" s="17"/>
      <c r="B63" s="17"/>
      <c r="C63" s="17"/>
      <c r="D63" s="17"/>
      <c r="E63" s="17"/>
      <c r="F63" s="17"/>
      <c r="G63" s="32"/>
    </row>
    <row r="64" spans="1:7" x14ac:dyDescent="0.25">
      <c r="A64" s="17"/>
      <c r="B64" s="17"/>
      <c r="C64" s="17"/>
      <c r="D64" s="17"/>
      <c r="E64" s="17"/>
      <c r="F64" s="17"/>
      <c r="G64" s="1"/>
    </row>
    <row r="65" spans="1:7" x14ac:dyDescent="0.25">
      <c r="A65" s="17"/>
      <c r="B65" s="17"/>
      <c r="C65" s="17"/>
      <c r="D65" s="17"/>
      <c r="E65" s="18"/>
      <c r="F65" s="17"/>
      <c r="G65" s="19"/>
    </row>
    <row r="66" spans="1:7" ht="17.25" x14ac:dyDescent="0.4">
      <c r="A66" s="17"/>
      <c r="B66" s="17"/>
      <c r="C66" s="17"/>
      <c r="D66" s="17"/>
      <c r="E66" s="18"/>
      <c r="F66" s="17"/>
      <c r="G66" s="20"/>
    </row>
    <row r="67" spans="1:7" x14ac:dyDescent="0.25">
      <c r="A67" s="17"/>
      <c r="B67" s="17"/>
      <c r="C67" s="17"/>
      <c r="D67" s="17"/>
      <c r="E67" s="18"/>
      <c r="F67" s="17"/>
      <c r="G67" s="21"/>
    </row>
    <row r="68" spans="1:7" ht="15.75" x14ac:dyDescent="0.25">
      <c r="A68" s="11"/>
      <c r="B68" s="11"/>
      <c r="C68" s="11"/>
      <c r="D68" s="11"/>
      <c r="E68" s="11"/>
      <c r="F68" s="11"/>
      <c r="G68" s="15"/>
    </row>
    <row r="69" spans="1:7" ht="15.75" x14ac:dyDescent="0.25">
      <c r="A69" s="11"/>
      <c r="B69" s="11"/>
      <c r="C69" s="11"/>
      <c r="D69" s="11"/>
      <c r="E69" s="11"/>
      <c r="F69" s="11"/>
      <c r="G69" s="14"/>
    </row>
    <row r="70" spans="1:7" ht="15.75" x14ac:dyDescent="0.25">
      <c r="A70" s="11"/>
      <c r="B70" s="11"/>
      <c r="C70" s="11"/>
      <c r="D70" s="11"/>
      <c r="E70" s="11"/>
      <c r="F70" s="11"/>
      <c r="G70" s="11"/>
    </row>
    <row r="71" spans="1:7" ht="15.75" x14ac:dyDescent="0.25">
      <c r="A71" s="11"/>
      <c r="B71" s="11"/>
      <c r="C71" s="16"/>
      <c r="D71" s="16"/>
      <c r="E71" s="11"/>
      <c r="F71" s="11"/>
      <c r="G71" s="11"/>
    </row>
    <row r="72" spans="1:7" ht="17.25" customHeight="1" x14ac:dyDescent="0.25">
      <c r="A72" s="11"/>
      <c r="B72" s="11"/>
      <c r="C72" s="11"/>
      <c r="D72" s="11"/>
      <c r="E72" s="11"/>
      <c r="F72" s="11"/>
      <c r="G72" s="11"/>
    </row>
    <row r="73" spans="1:7" ht="15.75" x14ac:dyDescent="0.25">
      <c r="A73" s="11"/>
      <c r="B73" s="11"/>
      <c r="C73" s="11"/>
      <c r="D73" s="11"/>
      <c r="E73" s="11"/>
      <c r="F73" s="11"/>
      <c r="G73" s="11"/>
    </row>
    <row r="74" spans="1:7" ht="15.75" x14ac:dyDescent="0.25">
      <c r="A74" s="11"/>
      <c r="B74" s="11"/>
      <c r="C74" s="11"/>
      <c r="D74" s="11"/>
      <c r="E74" s="11"/>
      <c r="F74" s="11"/>
      <c r="G74" s="11"/>
    </row>
    <row r="75" spans="1:7" ht="15.75" x14ac:dyDescent="0.25">
      <c r="A75" s="11"/>
      <c r="B75" s="11"/>
      <c r="C75" s="11"/>
      <c r="D75" s="11"/>
      <c r="E75" s="11"/>
      <c r="F75" s="11"/>
      <c r="G75" s="11"/>
    </row>
    <row r="76" spans="1:7" ht="15.75" x14ac:dyDescent="0.25">
      <c r="A76" s="11"/>
      <c r="B76" s="11"/>
      <c r="C76" s="11"/>
      <c r="D76" s="11"/>
      <c r="E76" s="11"/>
      <c r="F76" s="11"/>
      <c r="G76" s="11"/>
    </row>
    <row r="77" spans="1:7" ht="15.75" x14ac:dyDescent="0.25">
      <c r="A77" s="11"/>
      <c r="B77" s="11"/>
      <c r="C77" s="11"/>
      <c r="D77" s="11"/>
      <c r="E77" s="11"/>
      <c r="F77" s="11"/>
      <c r="G77" s="11"/>
    </row>
  </sheetData>
  <mergeCells count="6">
    <mergeCell ref="A53:G53"/>
    <mergeCell ref="A1:G1"/>
    <mergeCell ref="A2:G2"/>
    <mergeCell ref="A3:G3"/>
    <mergeCell ref="A4:G4"/>
    <mergeCell ref="A5:G5"/>
  </mergeCells>
  <pageMargins left="0.23622047244094491" right="0.23622047244094491" top="0.35433070866141736" bottom="0.74803149606299213" header="0.31496062992125984" footer="0.31496062992125984"/>
  <pageSetup paperSize="9" orientation="portrait" horizontalDpi="18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06153-C0C5-445A-A28A-19256455489A}">
  <dimension ref="A1:G62"/>
  <sheetViews>
    <sheetView topLeftCell="A19" workbookViewId="0">
      <selection activeCell="A3" sqref="A3:G3"/>
    </sheetView>
  </sheetViews>
  <sheetFormatPr defaultRowHeight="15" x14ac:dyDescent="0.25"/>
  <cols>
    <col min="3" max="3" width="5.42578125" customWidth="1"/>
    <col min="6" max="6" width="35.140625" customWidth="1"/>
    <col min="7" max="7" width="22.5703125" customWidth="1"/>
  </cols>
  <sheetData>
    <row r="1" spans="1:7" ht="18.75" x14ac:dyDescent="0.3">
      <c r="A1" s="56" t="s">
        <v>75</v>
      </c>
      <c r="B1" s="56"/>
      <c r="C1" s="56"/>
      <c r="D1" s="56"/>
      <c r="E1" s="56"/>
      <c r="F1" s="56"/>
      <c r="G1" s="56"/>
    </row>
    <row r="2" spans="1:7" ht="12.75" customHeight="1" x14ac:dyDescent="0.25">
      <c r="A2" s="53" t="s">
        <v>50</v>
      </c>
      <c r="B2" s="53"/>
      <c r="C2" s="53"/>
      <c r="D2" s="53"/>
      <c r="E2" s="53"/>
      <c r="F2" s="53"/>
      <c r="G2" s="53"/>
    </row>
    <row r="3" spans="1:7" ht="12" customHeight="1" thickBot="1" x14ac:dyDescent="0.3">
      <c r="A3" s="53" t="s">
        <v>286</v>
      </c>
      <c r="B3" s="53"/>
      <c r="C3" s="53"/>
      <c r="D3" s="53"/>
      <c r="E3" s="53"/>
      <c r="F3" s="53"/>
      <c r="G3" s="53"/>
    </row>
    <row r="4" spans="1:7" ht="19.5" thickTop="1" x14ac:dyDescent="0.3">
      <c r="A4" s="54" t="s">
        <v>0</v>
      </c>
      <c r="B4" s="54"/>
      <c r="C4" s="54"/>
      <c r="D4" s="54"/>
      <c r="E4" s="54"/>
      <c r="F4" s="54"/>
      <c r="G4" s="54"/>
    </row>
    <row r="5" spans="1:7" ht="15.75" x14ac:dyDescent="0.25">
      <c r="A5" s="55" t="str">
        <f>'KWITANSI FULL '!A6:G6</f>
        <v>NO : 367/1026</v>
      </c>
      <c r="B5" s="55"/>
      <c r="C5" s="55"/>
      <c r="D5" s="55"/>
      <c r="E5" s="55"/>
      <c r="F5" s="55"/>
      <c r="G5" s="55"/>
    </row>
    <row r="6" spans="1:7" ht="4.5" customHeight="1" x14ac:dyDescent="0.25">
      <c r="A6" s="11"/>
      <c r="B6" s="11"/>
      <c r="C6" s="11"/>
      <c r="D6" s="11"/>
      <c r="E6" s="11"/>
      <c r="F6" s="11"/>
      <c r="G6" s="11"/>
    </row>
    <row r="7" spans="1:7" ht="15.75" x14ac:dyDescent="0.25">
      <c r="A7" s="11" t="s">
        <v>1</v>
      </c>
      <c r="B7" s="12"/>
      <c r="C7" s="11" t="s">
        <v>195</v>
      </c>
      <c r="D7" s="11" t="s">
        <v>194</v>
      </c>
      <c r="E7" s="11"/>
      <c r="F7" s="11"/>
      <c r="G7" s="13">
        <f ca="1">TODAY()</f>
        <v>46301</v>
      </c>
    </row>
    <row r="8" spans="1:7" ht="15.75" x14ac:dyDescent="0.25">
      <c r="A8" s="11" t="s">
        <v>2</v>
      </c>
      <c r="B8" s="11"/>
      <c r="C8" s="11" t="s">
        <v>195</v>
      </c>
      <c r="D8" s="11" t="s">
        <v>194</v>
      </c>
      <c r="E8" s="11"/>
      <c r="F8" s="11"/>
      <c r="G8" s="11"/>
    </row>
    <row r="9" spans="1:7" ht="15.75" x14ac:dyDescent="0.25">
      <c r="A9" s="11" t="s">
        <v>3</v>
      </c>
      <c r="B9" s="11"/>
      <c r="C9" s="11" t="s">
        <v>196</v>
      </c>
      <c r="D9" s="11" t="s">
        <v>197</v>
      </c>
      <c r="E9" s="11"/>
      <c r="F9" s="11"/>
      <c r="G9" s="11"/>
    </row>
    <row r="10" spans="1:7" ht="15.75" x14ac:dyDescent="0.25">
      <c r="A10" s="11" t="s">
        <v>14</v>
      </c>
      <c r="B10" s="11"/>
      <c r="C10" s="11"/>
      <c r="D10" s="11"/>
      <c r="E10" s="11"/>
      <c r="F10" s="11"/>
      <c r="G10" s="11"/>
    </row>
    <row r="11" spans="1:7" ht="15.75" x14ac:dyDescent="0.25">
      <c r="A11" s="37" t="s">
        <v>85</v>
      </c>
      <c r="B11" s="11" t="s">
        <v>6</v>
      </c>
      <c r="C11" s="11"/>
      <c r="D11" s="11"/>
      <c r="E11" s="11"/>
      <c r="F11" s="11"/>
      <c r="G11" s="1">
        <f>VLOOKUP(B11,HARGA!$B$3:$D$137,3,FALSE)</f>
        <v>120000</v>
      </c>
    </row>
    <row r="12" spans="1:7" ht="15.75" x14ac:dyDescent="0.25">
      <c r="A12" s="11"/>
      <c r="B12" s="11" t="s">
        <v>102</v>
      </c>
      <c r="C12" s="11"/>
      <c r="D12" s="11"/>
      <c r="E12" s="11"/>
      <c r="F12" s="11"/>
      <c r="G12" s="1">
        <v>100000</v>
      </c>
    </row>
    <row r="13" spans="1:7" x14ac:dyDescent="0.25">
      <c r="A13" s="37" t="s">
        <v>88</v>
      </c>
      <c r="B13" s="17" t="s">
        <v>23</v>
      </c>
      <c r="C13" s="17"/>
      <c r="D13" s="17"/>
      <c r="E13" s="17">
        <v>1</v>
      </c>
      <c r="F13" s="17" t="s">
        <v>73</v>
      </c>
      <c r="G13" s="1">
        <f>VLOOKUP(B13,HARGA!$B$3:$D$137,3,FALSE)*E13</f>
        <v>35000</v>
      </c>
    </row>
    <row r="14" spans="1:7" x14ac:dyDescent="0.25">
      <c r="A14" s="37"/>
      <c r="B14" s="17" t="s">
        <v>178</v>
      </c>
      <c r="C14" s="17"/>
      <c r="D14" s="17"/>
      <c r="E14" s="17">
        <v>1</v>
      </c>
      <c r="F14" s="17" t="s">
        <v>73</v>
      </c>
      <c r="G14" s="1">
        <v>35000</v>
      </c>
    </row>
    <row r="15" spans="1:7" ht="15.75" x14ac:dyDescent="0.25">
      <c r="A15" s="37"/>
      <c r="B15" s="11" t="s">
        <v>113</v>
      </c>
      <c r="C15" s="17"/>
      <c r="D15" s="17"/>
      <c r="E15" s="17">
        <v>1</v>
      </c>
      <c r="F15" s="17" t="s">
        <v>73</v>
      </c>
      <c r="G15" s="1">
        <v>12000</v>
      </c>
    </row>
    <row r="16" spans="1:7" ht="15.75" x14ac:dyDescent="0.25">
      <c r="A16" s="37"/>
      <c r="B16" s="11" t="s">
        <v>179</v>
      </c>
      <c r="C16" s="17"/>
      <c r="D16" s="17"/>
      <c r="E16" s="17">
        <v>1</v>
      </c>
      <c r="F16" s="17" t="s">
        <v>73</v>
      </c>
      <c r="G16" s="1">
        <v>5000</v>
      </c>
    </row>
    <row r="17" spans="1:7" ht="15.75" x14ac:dyDescent="0.25">
      <c r="A17" s="17"/>
      <c r="B17" s="11" t="s">
        <v>180</v>
      </c>
      <c r="C17" s="17"/>
      <c r="D17" s="17"/>
      <c r="E17" s="17">
        <v>2</v>
      </c>
      <c r="F17" s="17" t="s">
        <v>73</v>
      </c>
      <c r="G17" s="1">
        <v>10000</v>
      </c>
    </row>
    <row r="18" spans="1:7" x14ac:dyDescent="0.25">
      <c r="A18" s="17"/>
      <c r="B18" s="17" t="s">
        <v>176</v>
      </c>
      <c r="C18" s="17"/>
      <c r="D18" s="17"/>
      <c r="E18" s="35">
        <v>1</v>
      </c>
      <c r="F18" s="17" t="s">
        <v>73</v>
      </c>
      <c r="G18" s="1">
        <f>VLOOKUP(B18,HARGA!$B$3:$D$137,3,FALSE)</f>
        <v>300000</v>
      </c>
    </row>
    <row r="19" spans="1:7" x14ac:dyDescent="0.25">
      <c r="A19" s="17"/>
      <c r="B19" s="17" t="s">
        <v>175</v>
      </c>
      <c r="C19" s="17"/>
      <c r="D19" s="17"/>
      <c r="E19" s="35">
        <v>1</v>
      </c>
      <c r="F19" s="17" t="s">
        <v>73</v>
      </c>
      <c r="G19" s="1">
        <f>VLOOKUP(B19,HARGA!$B$3:$D$137,3,FALSE)</f>
        <v>260000</v>
      </c>
    </row>
    <row r="20" spans="1:7" ht="15.75" x14ac:dyDescent="0.25">
      <c r="A20" s="17"/>
      <c r="B20" s="11" t="s">
        <v>145</v>
      </c>
      <c r="C20" s="17"/>
      <c r="D20" s="17"/>
      <c r="E20" s="35">
        <v>1</v>
      </c>
      <c r="F20" s="17" t="s">
        <v>73</v>
      </c>
      <c r="G20" s="1">
        <v>7000</v>
      </c>
    </row>
    <row r="21" spans="1:7" ht="15.75" x14ac:dyDescent="0.25">
      <c r="A21" s="17"/>
      <c r="B21" s="11" t="s">
        <v>181</v>
      </c>
      <c r="C21" s="17"/>
      <c r="D21" s="17"/>
      <c r="E21" s="35">
        <v>6</v>
      </c>
      <c r="F21" s="17" t="s">
        <v>73</v>
      </c>
      <c r="G21" s="1">
        <v>5000</v>
      </c>
    </row>
    <row r="22" spans="1:7" s="17" customFormat="1" ht="15.75" x14ac:dyDescent="0.25">
      <c r="B22" s="11" t="s">
        <v>177</v>
      </c>
      <c r="E22" s="35">
        <v>1</v>
      </c>
      <c r="F22" s="17" t="s">
        <v>73</v>
      </c>
      <c r="G22" s="1">
        <v>10000</v>
      </c>
    </row>
    <row r="23" spans="1:7" ht="15.75" x14ac:dyDescent="0.25">
      <c r="A23" s="17"/>
      <c r="B23" s="11" t="s">
        <v>182</v>
      </c>
      <c r="C23" s="17"/>
      <c r="D23" s="17"/>
      <c r="E23" s="35">
        <v>3</v>
      </c>
      <c r="F23" s="17" t="s">
        <v>73</v>
      </c>
      <c r="G23" s="1">
        <v>90000</v>
      </c>
    </row>
    <row r="24" spans="1:7" ht="18" x14ac:dyDescent="0.4">
      <c r="A24" s="17"/>
      <c r="B24" s="11" t="s">
        <v>25</v>
      </c>
      <c r="C24" s="17"/>
      <c r="D24" s="17"/>
      <c r="E24" s="35">
        <v>5</v>
      </c>
      <c r="F24" s="17" t="s">
        <v>73</v>
      </c>
      <c r="G24" s="27">
        <v>90000</v>
      </c>
    </row>
    <row r="25" spans="1:7" x14ac:dyDescent="0.25">
      <c r="A25" s="17"/>
      <c r="B25" s="17"/>
      <c r="C25" s="17"/>
      <c r="D25" s="17"/>
      <c r="E25" s="18"/>
      <c r="F25" s="17"/>
      <c r="G25" s="1"/>
    </row>
    <row r="26" spans="1:7" ht="15.75" x14ac:dyDescent="0.25">
      <c r="A26" s="11" t="s">
        <v>9</v>
      </c>
      <c r="B26" s="11"/>
      <c r="C26" s="11"/>
      <c r="D26" s="11"/>
      <c r="E26" s="11"/>
      <c r="F26" s="11"/>
      <c r="G26" s="15">
        <f>SUM(G11:G24)</f>
        <v>1079000</v>
      </c>
    </row>
    <row r="27" spans="1:7" ht="15.75" x14ac:dyDescent="0.25">
      <c r="A27" s="11"/>
      <c r="B27" s="11"/>
      <c r="C27" s="11"/>
      <c r="D27" s="11"/>
      <c r="E27" s="11"/>
      <c r="F27" s="11"/>
      <c r="G27" s="14"/>
    </row>
    <row r="28" spans="1:7" ht="15.75" x14ac:dyDescent="0.25">
      <c r="A28" s="11" t="s">
        <v>12</v>
      </c>
      <c r="B28" s="11"/>
      <c r="C28" s="11" t="s">
        <v>11</v>
      </c>
      <c r="D28" s="11" t="s">
        <v>53</v>
      </c>
      <c r="E28" s="11"/>
      <c r="F28" s="11"/>
      <c r="G28" s="11"/>
    </row>
    <row r="29" spans="1:7" ht="15.75" x14ac:dyDescent="0.25">
      <c r="A29" s="11" t="s">
        <v>10</v>
      </c>
      <c r="B29" s="11"/>
      <c r="C29" s="16" t="s">
        <v>13</v>
      </c>
      <c r="D29" s="16" t="s">
        <v>183</v>
      </c>
      <c r="E29" s="11"/>
      <c r="F29" s="11"/>
      <c r="G29" s="11"/>
    </row>
    <row r="30" spans="1:7" ht="8.25" customHeight="1" x14ac:dyDescent="0.25">
      <c r="A30" s="11"/>
      <c r="B30" s="11"/>
      <c r="C30" s="11"/>
      <c r="D30" s="11"/>
      <c r="E30" s="11"/>
      <c r="F30" s="11"/>
      <c r="G30" s="11"/>
    </row>
    <row r="31" spans="1:7" ht="15.75" x14ac:dyDescent="0.25">
      <c r="A31" s="11"/>
      <c r="B31" s="11"/>
      <c r="C31" s="11"/>
      <c r="D31" s="11"/>
      <c r="E31" s="11"/>
      <c r="F31" s="11"/>
      <c r="G31" s="11" t="s">
        <v>16</v>
      </c>
    </row>
    <row r="32" spans="1:7" ht="15.75" x14ac:dyDescent="0.25">
      <c r="A32" s="11"/>
      <c r="B32" s="11"/>
      <c r="C32" s="11"/>
      <c r="D32" s="11"/>
      <c r="E32" s="11"/>
      <c r="F32" s="11"/>
      <c r="G32" s="11"/>
    </row>
    <row r="33" spans="1:7" ht="15.75" x14ac:dyDescent="0.25">
      <c r="A33" s="11"/>
      <c r="B33" s="11"/>
      <c r="C33" s="11"/>
      <c r="D33" s="11"/>
      <c r="E33" s="11"/>
      <c r="F33" s="11"/>
      <c r="G33" s="11"/>
    </row>
    <row r="34" spans="1:7" ht="15.75" x14ac:dyDescent="0.25">
      <c r="A34" s="11"/>
      <c r="B34" s="11"/>
      <c r="C34" s="11"/>
      <c r="D34" s="11"/>
      <c r="E34" s="11"/>
      <c r="F34" s="11"/>
      <c r="G34" s="11" t="s">
        <v>17</v>
      </c>
    </row>
    <row r="35" spans="1:7" ht="15.75" x14ac:dyDescent="0.25">
      <c r="A35" s="11"/>
      <c r="B35" s="11"/>
      <c r="C35" s="11"/>
      <c r="D35" s="11"/>
      <c r="E35" s="11"/>
      <c r="F35" s="11"/>
      <c r="G35" s="11"/>
    </row>
    <row r="36" spans="1:7" ht="15.75" x14ac:dyDescent="0.25">
      <c r="A36" s="11"/>
      <c r="B36" s="11"/>
      <c r="C36" s="11"/>
      <c r="D36" s="11"/>
      <c r="E36" s="11"/>
      <c r="F36" s="11"/>
      <c r="G36" s="11"/>
    </row>
    <row r="38" spans="1:7" ht="18.75" x14ac:dyDescent="0.3">
      <c r="A38" s="56" t="s">
        <v>75</v>
      </c>
      <c r="B38" s="56"/>
      <c r="C38" s="56"/>
      <c r="D38" s="56"/>
      <c r="E38" s="56"/>
      <c r="F38" s="56"/>
      <c r="G38" s="56"/>
    </row>
    <row r="39" spans="1:7" x14ac:dyDescent="0.25">
      <c r="A39" s="53" t="s">
        <v>50</v>
      </c>
      <c r="B39" s="53"/>
      <c r="C39" s="53"/>
      <c r="D39" s="53"/>
      <c r="E39" s="53"/>
      <c r="F39" s="53"/>
      <c r="G39" s="53"/>
    </row>
    <row r="40" spans="1:7" ht="15.75" thickBot="1" x14ac:dyDescent="0.3">
      <c r="A40" s="53" t="s">
        <v>51</v>
      </c>
      <c r="B40" s="53"/>
      <c r="C40" s="53"/>
      <c r="D40" s="53"/>
      <c r="E40" s="53"/>
      <c r="F40" s="53"/>
      <c r="G40" s="53"/>
    </row>
    <row r="41" spans="1:7" ht="19.5" thickTop="1" x14ac:dyDescent="0.3">
      <c r="A41" s="54" t="s">
        <v>0</v>
      </c>
      <c r="B41" s="54"/>
      <c r="C41" s="54"/>
      <c r="D41" s="54"/>
      <c r="E41" s="54"/>
      <c r="F41" s="54"/>
      <c r="G41" s="54"/>
    </row>
    <row r="42" spans="1:7" ht="15.75" x14ac:dyDescent="0.25">
      <c r="A42" s="55" t="str">
        <f>A5</f>
        <v>NO : 367/1026</v>
      </c>
      <c r="B42" s="55"/>
      <c r="C42" s="55"/>
      <c r="D42" s="55"/>
      <c r="E42" s="55"/>
      <c r="F42" s="55"/>
      <c r="G42" s="55"/>
    </row>
    <row r="43" spans="1:7" ht="15.75" x14ac:dyDescent="0.25">
      <c r="A43" s="11"/>
      <c r="B43" s="11"/>
      <c r="C43" s="11"/>
      <c r="D43" s="11"/>
      <c r="E43" s="11"/>
      <c r="F43" s="11"/>
      <c r="G43" s="11"/>
    </row>
    <row r="44" spans="1:7" ht="15.75" x14ac:dyDescent="0.25">
      <c r="A44" s="11" t="s">
        <v>1</v>
      </c>
      <c r="B44" s="12"/>
      <c r="C44" s="11" t="s">
        <v>13</v>
      </c>
      <c r="D44" s="11" t="str">
        <f>D7</f>
        <v>Hilim Ristiani</v>
      </c>
      <c r="E44" s="11"/>
      <c r="F44" s="11"/>
      <c r="G44" s="13">
        <f ca="1">TODAY()</f>
        <v>46301</v>
      </c>
    </row>
    <row r="45" spans="1:7" ht="15.75" x14ac:dyDescent="0.25">
      <c r="A45" s="11" t="s">
        <v>2</v>
      </c>
      <c r="B45" s="11"/>
      <c r="C45" s="11" t="s">
        <v>13</v>
      </c>
      <c r="D45" s="11" t="str">
        <f>D44</f>
        <v>Hilim Ristiani</v>
      </c>
      <c r="E45" s="11"/>
      <c r="F45" s="11"/>
      <c r="G45" s="11"/>
    </row>
    <row r="46" spans="1:7" ht="15.75" x14ac:dyDescent="0.25">
      <c r="A46" s="11" t="s">
        <v>3</v>
      </c>
      <c r="B46" s="11"/>
      <c r="C46" s="11" t="s">
        <v>15</v>
      </c>
      <c r="D46" s="11" t="s">
        <v>48</v>
      </c>
      <c r="E46" s="11"/>
      <c r="F46" s="11"/>
      <c r="G46" s="11"/>
    </row>
    <row r="47" spans="1:7" ht="15.75" x14ac:dyDescent="0.25">
      <c r="A47" s="11" t="s">
        <v>14</v>
      </c>
      <c r="B47" s="11"/>
      <c r="C47" s="11"/>
      <c r="D47" s="11"/>
      <c r="E47" s="11"/>
      <c r="F47" s="11"/>
      <c r="G47" s="11"/>
    </row>
    <row r="48" spans="1:7" x14ac:dyDescent="0.25">
      <c r="A48" s="17" t="str">
        <f>A13</f>
        <v>Obat</v>
      </c>
      <c r="B48" s="17"/>
      <c r="C48" s="17"/>
      <c r="D48" s="17"/>
      <c r="E48" s="17"/>
      <c r="F48" s="17"/>
      <c r="G48" s="32">
        <f>G13</f>
        <v>35000</v>
      </c>
    </row>
    <row r="49" spans="1:7" x14ac:dyDescent="0.25">
      <c r="A49" s="17"/>
      <c r="B49" s="17"/>
      <c r="C49" s="17"/>
      <c r="D49" s="17"/>
      <c r="E49" s="17"/>
      <c r="F49" s="17"/>
      <c r="G49" s="1"/>
    </row>
    <row r="50" spans="1:7" x14ac:dyDescent="0.25">
      <c r="A50" s="17"/>
      <c r="B50" s="17"/>
      <c r="C50" s="17"/>
      <c r="D50" s="17"/>
      <c r="E50" s="18"/>
      <c r="F50" s="17"/>
      <c r="G50" s="19"/>
    </row>
    <row r="51" spans="1:7" ht="17.25" x14ac:dyDescent="0.4">
      <c r="A51" s="17"/>
      <c r="B51" s="17"/>
      <c r="C51" s="17"/>
      <c r="D51" s="17"/>
      <c r="E51" s="18"/>
      <c r="F51" s="17"/>
      <c r="G51" s="20"/>
    </row>
    <row r="52" spans="1:7" x14ac:dyDescent="0.25">
      <c r="A52" s="17"/>
      <c r="B52" s="17"/>
      <c r="C52" s="17"/>
      <c r="D52" s="17"/>
      <c r="E52" s="18"/>
      <c r="F52" s="17"/>
      <c r="G52" s="21"/>
    </row>
    <row r="53" spans="1:7" ht="15.75" x14ac:dyDescent="0.25">
      <c r="A53" s="11" t="s">
        <v>9</v>
      </c>
      <c r="B53" s="11"/>
      <c r="C53" s="11"/>
      <c r="D53" s="11"/>
      <c r="E53" s="11"/>
      <c r="F53" s="11"/>
      <c r="G53" s="15"/>
    </row>
    <row r="54" spans="1:7" ht="15.75" x14ac:dyDescent="0.25">
      <c r="A54" s="11"/>
      <c r="B54" s="11"/>
      <c r="C54" s="11"/>
      <c r="D54" s="11"/>
      <c r="E54" s="11"/>
      <c r="F54" s="11"/>
      <c r="G54" s="14"/>
    </row>
    <row r="55" spans="1:7" ht="15.75" x14ac:dyDescent="0.25">
      <c r="A55" s="11" t="s">
        <v>12</v>
      </c>
      <c r="B55" s="11"/>
      <c r="C55" s="11" t="s">
        <v>11</v>
      </c>
      <c r="D55" s="11" t="s">
        <v>53</v>
      </c>
      <c r="E55" s="11"/>
      <c r="F55" s="11"/>
      <c r="G55" s="11"/>
    </row>
    <row r="56" spans="1:7" ht="15.75" x14ac:dyDescent="0.25">
      <c r="A56" s="11" t="s">
        <v>10</v>
      </c>
      <c r="B56" s="11"/>
      <c r="C56" s="16" t="s">
        <v>13</v>
      </c>
      <c r="D56" s="16" t="str">
        <f>D29</f>
        <v>Satu Juta Tujuh Puluh Sembilan Ribu Rupiah</v>
      </c>
      <c r="E56" s="11"/>
      <c r="F56" s="11"/>
      <c r="G56" s="11"/>
    </row>
    <row r="57" spans="1:7" ht="17.25" customHeight="1" x14ac:dyDescent="0.25">
      <c r="A57" s="11"/>
      <c r="B57" s="11"/>
      <c r="C57" s="11"/>
      <c r="D57" s="11"/>
      <c r="E57" s="11"/>
      <c r="F57" s="11"/>
      <c r="G57" s="11"/>
    </row>
    <row r="58" spans="1:7" ht="15.75" x14ac:dyDescent="0.25">
      <c r="A58" s="11"/>
      <c r="B58" s="11"/>
      <c r="C58" s="11"/>
      <c r="D58" s="11"/>
      <c r="E58" s="11"/>
      <c r="F58" s="11"/>
      <c r="G58" s="11" t="s">
        <v>16</v>
      </c>
    </row>
    <row r="59" spans="1:7" ht="15.75" x14ac:dyDescent="0.25">
      <c r="A59" s="11"/>
      <c r="B59" s="11"/>
      <c r="C59" s="11"/>
      <c r="D59" s="11"/>
      <c r="E59" s="11"/>
      <c r="F59" s="11"/>
      <c r="G59" s="11"/>
    </row>
    <row r="60" spans="1:7" ht="15.75" x14ac:dyDescent="0.25">
      <c r="A60" s="11"/>
      <c r="B60" s="11"/>
      <c r="C60" s="11"/>
      <c r="D60" s="11"/>
      <c r="E60" s="11"/>
      <c r="F60" s="11"/>
      <c r="G60" s="11"/>
    </row>
    <row r="61" spans="1:7" ht="15.75" x14ac:dyDescent="0.25">
      <c r="A61" s="11"/>
      <c r="B61" s="11"/>
      <c r="C61" s="11"/>
      <c r="D61" s="11"/>
      <c r="E61" s="11"/>
      <c r="F61" s="11"/>
      <c r="G61" s="11" t="s">
        <v>17</v>
      </c>
    </row>
    <row r="62" spans="1:7" ht="15.75" x14ac:dyDescent="0.25">
      <c r="A62" s="11"/>
      <c r="B62" s="11"/>
      <c r="C62" s="11"/>
      <c r="D62" s="11"/>
      <c r="E62" s="11"/>
      <c r="F62" s="11"/>
      <c r="G62" s="11"/>
    </row>
  </sheetData>
  <mergeCells count="10">
    <mergeCell ref="A39:G39"/>
    <mergeCell ref="A40:G40"/>
    <mergeCell ref="A41:G41"/>
    <mergeCell ref="A42:G42"/>
    <mergeCell ref="A1:G1"/>
    <mergeCell ref="A2:G2"/>
    <mergeCell ref="A3:G3"/>
    <mergeCell ref="A4:G4"/>
    <mergeCell ref="A5:G5"/>
    <mergeCell ref="A38:G38"/>
  </mergeCells>
  <pageMargins left="0.23622047244094491" right="0.23622047244094491" top="0.35433070866141736" bottom="0.74803149606299213" header="0.31496062992125984" footer="0.31496062992125984"/>
  <pageSetup paperSize="9" orientation="portrait" horizontalDpi="18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F86B8-B137-473F-A903-142F663C0091}">
  <dimension ref="A1:G55"/>
  <sheetViews>
    <sheetView zoomScaleNormal="100" workbookViewId="0">
      <selection activeCell="A32" sqref="A32:G32"/>
    </sheetView>
  </sheetViews>
  <sheetFormatPr defaultRowHeight="15" x14ac:dyDescent="0.25"/>
  <cols>
    <col min="3" max="3" width="5.42578125" customWidth="1"/>
    <col min="4" max="4" width="18" customWidth="1"/>
    <col min="6" max="6" width="25.85546875" customWidth="1"/>
    <col min="7" max="7" width="22.5703125" customWidth="1"/>
  </cols>
  <sheetData>
    <row r="1" spans="1:7" ht="18.75" x14ac:dyDescent="0.3">
      <c r="A1" s="56" t="s">
        <v>87</v>
      </c>
      <c r="B1" s="56"/>
      <c r="C1" s="56"/>
      <c r="D1" s="56"/>
      <c r="E1" s="56"/>
      <c r="F1" s="56"/>
      <c r="G1" s="56"/>
    </row>
    <row r="2" spans="1:7" ht="12.75" customHeight="1" x14ac:dyDescent="0.25">
      <c r="A2" s="53" t="s">
        <v>50</v>
      </c>
      <c r="B2" s="53"/>
      <c r="C2" s="53"/>
      <c r="D2" s="53"/>
      <c r="E2" s="53"/>
      <c r="F2" s="53"/>
      <c r="G2" s="53"/>
    </row>
    <row r="3" spans="1:7" ht="12" customHeight="1" thickBot="1" x14ac:dyDescent="0.3">
      <c r="A3" s="53" t="s">
        <v>286</v>
      </c>
      <c r="B3" s="53"/>
      <c r="C3" s="53"/>
      <c r="D3" s="53"/>
      <c r="E3" s="53"/>
      <c r="F3" s="53"/>
      <c r="G3" s="53"/>
    </row>
    <row r="4" spans="1:7" ht="19.5" thickTop="1" x14ac:dyDescent="0.3">
      <c r="A4" s="54" t="s">
        <v>0</v>
      </c>
      <c r="B4" s="54"/>
      <c r="C4" s="54"/>
      <c r="D4" s="54"/>
      <c r="E4" s="54"/>
      <c r="F4" s="54"/>
      <c r="G4" s="54"/>
    </row>
    <row r="5" spans="1:7" ht="15.75" x14ac:dyDescent="0.25">
      <c r="A5" s="55" t="s">
        <v>233</v>
      </c>
      <c r="B5" s="55"/>
      <c r="C5" s="55"/>
      <c r="D5" s="55"/>
      <c r="E5" s="55"/>
      <c r="F5" s="55"/>
      <c r="G5" s="55"/>
    </row>
    <row r="6" spans="1:7" ht="4.5" customHeight="1" x14ac:dyDescent="0.25">
      <c r="A6" s="11"/>
      <c r="B6" s="11"/>
      <c r="C6" s="11"/>
      <c r="D6" s="11"/>
      <c r="E6" s="11"/>
      <c r="F6" s="11"/>
      <c r="G6" s="11"/>
    </row>
    <row r="7" spans="1:7" ht="15.75" x14ac:dyDescent="0.25">
      <c r="A7" s="11" t="s">
        <v>1</v>
      </c>
      <c r="B7" s="12"/>
      <c r="C7" s="11" t="s">
        <v>234</v>
      </c>
      <c r="D7" s="11" t="s">
        <v>235</v>
      </c>
      <c r="E7" s="11"/>
      <c r="F7" s="11"/>
      <c r="G7" s="43">
        <f ca="1">TODAY()</f>
        <v>46301</v>
      </c>
    </row>
    <row r="8" spans="1:7" ht="15.75" x14ac:dyDescent="0.25">
      <c r="A8" s="11" t="s">
        <v>2</v>
      </c>
      <c r="B8" s="11"/>
      <c r="C8" s="11" t="s">
        <v>234</v>
      </c>
      <c r="D8" s="11" t="str">
        <f>D7</f>
        <v>Aghnia Khairunnisa A</v>
      </c>
      <c r="E8" s="11"/>
      <c r="F8" s="11"/>
      <c r="G8" s="11"/>
    </row>
    <row r="9" spans="1:7" ht="15.75" x14ac:dyDescent="0.25">
      <c r="A9" s="11" t="s">
        <v>3</v>
      </c>
      <c r="B9" s="11"/>
      <c r="C9" s="11" t="s">
        <v>196</v>
      </c>
      <c r="D9" s="11" t="s">
        <v>197</v>
      </c>
      <c r="E9" s="11"/>
      <c r="F9" s="11"/>
      <c r="G9" s="11"/>
    </row>
    <row r="10" spans="1:7" ht="15.75" x14ac:dyDescent="0.25">
      <c r="A10" s="11" t="s">
        <v>14</v>
      </c>
      <c r="B10" s="11"/>
      <c r="C10" s="11"/>
      <c r="D10" s="11"/>
      <c r="E10" s="11"/>
      <c r="F10" s="11"/>
      <c r="G10" s="11"/>
    </row>
    <row r="11" spans="1:7" ht="15.75" x14ac:dyDescent="0.25">
      <c r="A11" s="11" t="s">
        <v>204</v>
      </c>
      <c r="B11" s="11"/>
      <c r="C11" s="11"/>
      <c r="D11" s="11"/>
      <c r="E11" s="11"/>
      <c r="F11" s="11"/>
      <c r="G11" s="14">
        <v>4250000</v>
      </c>
    </row>
    <row r="12" spans="1:7" ht="15.75" x14ac:dyDescent="0.25">
      <c r="A12" s="11" t="s">
        <v>88</v>
      </c>
      <c r="B12" s="11"/>
      <c r="C12" s="11"/>
      <c r="D12" s="11"/>
      <c r="E12" s="11"/>
      <c r="F12" s="11"/>
      <c r="G12" s="14">
        <v>635000</v>
      </c>
    </row>
    <row r="13" spans="1:7" ht="15.75" x14ac:dyDescent="0.25">
      <c r="A13" s="11" t="s">
        <v>205</v>
      </c>
      <c r="B13" s="11"/>
      <c r="C13" s="11"/>
      <c r="D13" s="11"/>
      <c r="E13" s="11"/>
      <c r="F13" s="11"/>
      <c r="G13" s="14">
        <v>975000</v>
      </c>
    </row>
    <row r="14" spans="1:7" ht="15.75" x14ac:dyDescent="0.25">
      <c r="A14" s="11" t="s">
        <v>206</v>
      </c>
      <c r="B14" s="11"/>
      <c r="C14" s="11"/>
      <c r="D14" s="11"/>
      <c r="E14" s="11"/>
      <c r="F14" s="11"/>
      <c r="G14" s="14">
        <v>1300000</v>
      </c>
    </row>
    <row r="15" spans="1:7" ht="15.75" x14ac:dyDescent="0.25">
      <c r="A15" s="11" t="s">
        <v>207</v>
      </c>
      <c r="B15" s="11"/>
      <c r="C15" s="11"/>
      <c r="D15" s="11"/>
      <c r="E15" s="11"/>
      <c r="F15" s="11"/>
      <c r="G15" s="14">
        <v>340000</v>
      </c>
    </row>
    <row r="16" spans="1:7" ht="15.75" x14ac:dyDescent="0.25">
      <c r="A16" s="11"/>
      <c r="B16" s="11"/>
      <c r="C16" s="11"/>
      <c r="D16" s="11"/>
      <c r="E16" s="11"/>
      <c r="F16" s="11"/>
      <c r="G16" s="11"/>
    </row>
    <row r="17" spans="1:7" ht="15.75" x14ac:dyDescent="0.25">
      <c r="A17" s="11"/>
      <c r="B17" s="16" t="s">
        <v>208</v>
      </c>
      <c r="C17" s="16"/>
      <c r="D17" s="16"/>
      <c r="E17" s="16"/>
      <c r="F17" s="16"/>
      <c r="G17" s="15">
        <f>SUM(G11:G15)</f>
        <v>7500000</v>
      </c>
    </row>
    <row r="18" spans="1:7" ht="15.75" x14ac:dyDescent="0.25">
      <c r="A18" s="11"/>
      <c r="B18" s="11"/>
      <c r="C18" s="11"/>
      <c r="D18" s="11"/>
      <c r="E18" s="11"/>
      <c r="F18" s="11"/>
      <c r="G18" s="14"/>
    </row>
    <row r="19" spans="1:7" ht="15.75" x14ac:dyDescent="0.25">
      <c r="A19" s="11" t="s">
        <v>12</v>
      </c>
      <c r="B19" s="11"/>
      <c r="C19" s="11" t="s">
        <v>11</v>
      </c>
      <c r="D19" s="11"/>
      <c r="E19" s="11"/>
      <c r="F19" s="11"/>
      <c r="G19" s="11"/>
    </row>
    <row r="20" spans="1:7" ht="15.75" x14ac:dyDescent="0.25">
      <c r="A20" s="11" t="s">
        <v>10</v>
      </c>
      <c r="B20" s="11"/>
      <c r="C20" s="16" t="s">
        <v>13</v>
      </c>
      <c r="D20" s="16" t="s">
        <v>209</v>
      </c>
      <c r="E20" s="11"/>
      <c r="F20" s="11"/>
      <c r="G20" s="11"/>
    </row>
    <row r="21" spans="1:7" ht="8.25" customHeight="1" x14ac:dyDescent="0.25">
      <c r="A21" s="11"/>
      <c r="B21" s="11"/>
      <c r="C21" s="11"/>
      <c r="D21" s="11"/>
      <c r="E21" s="11"/>
      <c r="F21" s="11"/>
      <c r="G21" s="11"/>
    </row>
    <row r="22" spans="1:7" ht="15.75" x14ac:dyDescent="0.25">
      <c r="A22" s="11"/>
      <c r="B22" s="11"/>
      <c r="C22" s="11"/>
      <c r="D22" s="11"/>
      <c r="E22" s="11"/>
      <c r="F22" s="11"/>
      <c r="G22" s="11" t="s">
        <v>16</v>
      </c>
    </row>
    <row r="23" spans="1:7" ht="15.75" x14ac:dyDescent="0.25">
      <c r="A23" s="11"/>
      <c r="B23" s="11"/>
      <c r="C23" s="11"/>
      <c r="D23" s="11"/>
      <c r="E23" s="11"/>
      <c r="F23" s="11"/>
      <c r="G23" s="11"/>
    </row>
    <row r="24" spans="1:7" ht="15.75" x14ac:dyDescent="0.25">
      <c r="A24" s="11"/>
      <c r="B24" s="11"/>
      <c r="C24" s="11"/>
      <c r="D24" s="11"/>
      <c r="E24" s="11"/>
      <c r="F24" s="11"/>
      <c r="G24" s="11"/>
    </row>
    <row r="25" spans="1:7" ht="15.75" x14ac:dyDescent="0.25">
      <c r="A25" s="11"/>
      <c r="B25" s="11"/>
      <c r="C25" s="11"/>
      <c r="D25" s="11"/>
      <c r="E25" s="11"/>
      <c r="F25" s="11"/>
      <c r="G25" s="11" t="s">
        <v>17</v>
      </c>
    </row>
    <row r="26" spans="1:7" ht="15.75" x14ac:dyDescent="0.25">
      <c r="A26" s="11"/>
      <c r="B26" s="11"/>
      <c r="C26" s="11"/>
      <c r="D26" s="11"/>
      <c r="E26" s="11"/>
      <c r="F26" s="11"/>
      <c r="G26" s="11"/>
    </row>
    <row r="27" spans="1:7" ht="15.75" x14ac:dyDescent="0.25">
      <c r="A27" s="28"/>
      <c r="B27" s="28"/>
      <c r="C27" s="28"/>
      <c r="D27" s="28"/>
      <c r="E27" s="28"/>
      <c r="F27" s="28"/>
      <c r="G27" s="28"/>
    </row>
    <row r="28" spans="1:7" ht="15.75" x14ac:dyDescent="0.25">
      <c r="A28" s="11"/>
      <c r="B28" s="11"/>
      <c r="C28" s="11"/>
      <c r="D28" s="11"/>
      <c r="E28" s="11"/>
      <c r="F28" s="11"/>
      <c r="G28" s="11"/>
    </row>
    <row r="30" spans="1:7" ht="18.75" x14ac:dyDescent="0.3">
      <c r="A30" s="56" t="str">
        <f>A1</f>
        <v>AL- QOYYUM ROYAL CLINIC</v>
      </c>
      <c r="B30" s="56"/>
      <c r="C30" s="56"/>
      <c r="D30" s="56"/>
      <c r="E30" s="56"/>
      <c r="F30" s="56"/>
      <c r="G30" s="56"/>
    </row>
    <row r="31" spans="1:7" x14ac:dyDescent="0.25">
      <c r="A31" s="53" t="s">
        <v>50</v>
      </c>
      <c r="B31" s="53"/>
      <c r="C31" s="53"/>
      <c r="D31" s="53"/>
      <c r="E31" s="53"/>
      <c r="F31" s="53"/>
      <c r="G31" s="53"/>
    </row>
    <row r="32" spans="1:7" ht="15.75" thickBot="1" x14ac:dyDescent="0.3">
      <c r="A32" s="53" t="s">
        <v>286</v>
      </c>
      <c r="B32" s="53"/>
      <c r="C32" s="53"/>
      <c r="D32" s="53"/>
      <c r="E32" s="53"/>
      <c r="F32" s="53"/>
      <c r="G32" s="53"/>
    </row>
    <row r="33" spans="1:7" ht="19.5" thickTop="1" x14ac:dyDescent="0.3">
      <c r="A33" s="54" t="s">
        <v>0</v>
      </c>
      <c r="B33" s="54"/>
      <c r="C33" s="54"/>
      <c r="D33" s="54"/>
      <c r="E33" s="54"/>
      <c r="F33" s="54"/>
      <c r="G33" s="54"/>
    </row>
    <row r="34" spans="1:7" ht="15.75" x14ac:dyDescent="0.25">
      <c r="A34" s="55" t="s">
        <v>233</v>
      </c>
      <c r="B34" s="55"/>
      <c r="C34" s="55"/>
      <c r="D34" s="55"/>
      <c r="E34" s="55"/>
      <c r="F34" s="55"/>
      <c r="G34" s="55"/>
    </row>
    <row r="35" spans="1:7" ht="15.75" x14ac:dyDescent="0.25">
      <c r="A35" s="11"/>
      <c r="B35" s="11"/>
      <c r="C35" s="11"/>
      <c r="D35" s="11"/>
      <c r="E35" s="11"/>
      <c r="F35" s="11"/>
      <c r="G35" s="11"/>
    </row>
    <row r="36" spans="1:7" ht="15.75" x14ac:dyDescent="0.25">
      <c r="A36" s="11" t="s">
        <v>1</v>
      </c>
      <c r="B36" s="12"/>
      <c r="C36" s="11" t="s">
        <v>234</v>
      </c>
      <c r="D36" s="11" t="s">
        <v>224</v>
      </c>
      <c r="E36" s="11"/>
      <c r="F36" s="11"/>
      <c r="G36" s="13">
        <f ca="1">TODAY()</f>
        <v>46301</v>
      </c>
    </row>
    <row r="37" spans="1:7" ht="15.75" x14ac:dyDescent="0.25">
      <c r="A37" s="11" t="s">
        <v>2</v>
      </c>
      <c r="B37" s="11"/>
      <c r="C37" s="11" t="s">
        <v>234</v>
      </c>
      <c r="D37" s="11" t="str">
        <f>D36</f>
        <v>Risma Komala</v>
      </c>
      <c r="E37" s="11"/>
      <c r="F37" s="11"/>
      <c r="G37" s="11"/>
    </row>
    <row r="38" spans="1:7" ht="15.75" x14ac:dyDescent="0.25">
      <c r="A38" s="11" t="s">
        <v>3</v>
      </c>
      <c r="B38" s="11"/>
      <c r="C38" s="11" t="s">
        <v>15</v>
      </c>
      <c r="D38" s="11" t="s">
        <v>48</v>
      </c>
      <c r="E38" s="11"/>
      <c r="F38" s="11"/>
      <c r="G38" s="11"/>
    </row>
    <row r="39" spans="1:7" ht="15.75" x14ac:dyDescent="0.25">
      <c r="A39" s="11" t="s">
        <v>14</v>
      </c>
      <c r="B39" s="11"/>
      <c r="C39" s="11"/>
      <c r="D39" s="11"/>
      <c r="E39" s="11"/>
      <c r="F39" s="11"/>
      <c r="G39" s="11"/>
    </row>
    <row r="40" spans="1:7" x14ac:dyDescent="0.25">
      <c r="A40" s="37" t="s">
        <v>85</v>
      </c>
      <c r="B40" s="17" t="s">
        <v>6</v>
      </c>
      <c r="C40" s="17"/>
      <c r="D40" s="17"/>
      <c r="E40" s="17"/>
      <c r="F40" s="17"/>
      <c r="G40" s="1">
        <v>120000</v>
      </c>
    </row>
    <row r="41" spans="1:7" x14ac:dyDescent="0.25">
      <c r="A41" s="37"/>
      <c r="B41" s="17" t="s">
        <v>7</v>
      </c>
      <c r="C41" s="17"/>
      <c r="D41" s="17"/>
      <c r="E41" s="17"/>
      <c r="F41" s="17"/>
      <c r="G41" s="1">
        <v>80000</v>
      </c>
    </row>
    <row r="42" spans="1:7" x14ac:dyDescent="0.25">
      <c r="A42" s="37"/>
      <c r="B42" s="17" t="s">
        <v>90</v>
      </c>
      <c r="C42" s="17"/>
      <c r="D42" s="17"/>
      <c r="E42" s="35"/>
      <c r="F42" s="17"/>
      <c r="G42" s="1">
        <v>450000</v>
      </c>
    </row>
    <row r="43" spans="1:7" x14ac:dyDescent="0.25">
      <c r="A43" s="37"/>
      <c r="B43" s="17" t="s">
        <v>91</v>
      </c>
      <c r="C43" s="17"/>
      <c r="D43" s="17"/>
      <c r="E43" s="35"/>
      <c r="F43" s="17"/>
      <c r="G43" s="38">
        <v>450000</v>
      </c>
    </row>
    <row r="44" spans="1:7" x14ac:dyDescent="0.25">
      <c r="A44" s="37" t="s">
        <v>88</v>
      </c>
      <c r="B44" s="17" t="s">
        <v>95</v>
      </c>
      <c r="C44" s="17"/>
      <c r="D44" s="17"/>
      <c r="E44" s="35">
        <v>10</v>
      </c>
      <c r="F44" s="17" t="s">
        <v>73</v>
      </c>
      <c r="G44" s="21">
        <v>20000</v>
      </c>
    </row>
    <row r="45" spans="1:7" ht="15.75" x14ac:dyDescent="0.25">
      <c r="A45" s="37" t="s">
        <v>92</v>
      </c>
      <c r="B45" s="11" t="s">
        <v>41</v>
      </c>
      <c r="C45" s="11"/>
      <c r="D45" s="11"/>
      <c r="E45" s="11">
        <v>1</v>
      </c>
      <c r="F45" s="11" t="s">
        <v>73</v>
      </c>
      <c r="G45" s="14">
        <v>650000</v>
      </c>
    </row>
    <row r="46" spans="1:7" ht="15.75" x14ac:dyDescent="0.25">
      <c r="A46" s="11"/>
      <c r="B46" s="11" t="s">
        <v>93</v>
      </c>
      <c r="C46" s="11"/>
      <c r="D46" s="11"/>
      <c r="E46" s="11">
        <v>1</v>
      </c>
      <c r="F46" s="11" t="s">
        <v>73</v>
      </c>
      <c r="G46" s="14">
        <v>5000</v>
      </c>
    </row>
    <row r="47" spans="1:7" ht="18" x14ac:dyDescent="0.4">
      <c r="A47" s="11"/>
      <c r="B47" s="11" t="s">
        <v>94</v>
      </c>
      <c r="C47" s="11"/>
      <c r="D47" s="11"/>
      <c r="E47" s="11">
        <v>1</v>
      </c>
      <c r="F47" s="11" t="s">
        <v>73</v>
      </c>
      <c r="G47" s="39">
        <v>10000</v>
      </c>
    </row>
    <row r="48" spans="1:7" ht="15.75" x14ac:dyDescent="0.25">
      <c r="A48" s="11"/>
      <c r="B48" s="11"/>
      <c r="C48" s="11"/>
      <c r="D48" s="11"/>
      <c r="E48" s="11"/>
      <c r="F48" s="11"/>
      <c r="G48" s="14">
        <f>SUM(G40:G47)</f>
        <v>1785000</v>
      </c>
    </row>
    <row r="49" spans="1:7" ht="15.75" x14ac:dyDescent="0.25">
      <c r="A49" s="11" t="s">
        <v>12</v>
      </c>
      <c r="B49" s="11"/>
      <c r="C49" s="11" t="s">
        <v>11</v>
      </c>
      <c r="D49" s="11" t="s">
        <v>53</v>
      </c>
      <c r="E49" s="11"/>
      <c r="F49" s="11"/>
      <c r="G49" s="11"/>
    </row>
    <row r="50" spans="1:7" ht="15.75" x14ac:dyDescent="0.25">
      <c r="A50" s="11" t="s">
        <v>10</v>
      </c>
      <c r="B50" s="11"/>
      <c r="C50" s="16" t="s">
        <v>13</v>
      </c>
      <c r="D50" s="16" t="s">
        <v>225</v>
      </c>
      <c r="E50" s="11"/>
      <c r="F50" s="11"/>
      <c r="G50" s="11"/>
    </row>
    <row r="51" spans="1:7" ht="15.75" x14ac:dyDescent="0.25">
      <c r="A51" s="11"/>
      <c r="B51" s="11"/>
      <c r="C51" s="11"/>
      <c r="D51" s="11"/>
      <c r="E51" s="11"/>
      <c r="F51" s="11"/>
      <c r="G51" s="11" t="s">
        <v>16</v>
      </c>
    </row>
    <row r="52" spans="1:7" ht="15.75" x14ac:dyDescent="0.25">
      <c r="A52" s="11"/>
      <c r="B52" s="11"/>
      <c r="C52" s="11"/>
      <c r="D52" s="11"/>
      <c r="E52" s="11"/>
      <c r="F52" s="11"/>
      <c r="G52" s="11"/>
    </row>
    <row r="53" spans="1:7" ht="15.75" x14ac:dyDescent="0.25">
      <c r="A53" s="11"/>
      <c r="B53" s="11"/>
      <c r="C53" s="11"/>
      <c r="D53" s="11"/>
      <c r="E53" s="11"/>
      <c r="F53" s="11"/>
      <c r="G53" s="11"/>
    </row>
    <row r="54" spans="1:7" ht="15.75" x14ac:dyDescent="0.25">
      <c r="A54" s="11"/>
      <c r="B54" s="11"/>
      <c r="C54" s="11"/>
      <c r="D54" s="11"/>
      <c r="E54" s="11"/>
      <c r="F54" s="11"/>
      <c r="G54" s="11" t="s">
        <v>17</v>
      </c>
    </row>
    <row r="55" spans="1:7" ht="15.75" x14ac:dyDescent="0.25">
      <c r="A55" s="11"/>
      <c r="B55" s="11"/>
      <c r="C55" s="11"/>
      <c r="D55" s="11"/>
      <c r="E55" s="11"/>
      <c r="F55" s="11"/>
      <c r="G55" s="11"/>
    </row>
  </sheetData>
  <mergeCells count="10">
    <mergeCell ref="A31:G31"/>
    <mergeCell ref="A32:G32"/>
    <mergeCell ref="A33:G33"/>
    <mergeCell ref="A34:G34"/>
    <mergeCell ref="A1:G1"/>
    <mergeCell ref="A2:G2"/>
    <mergeCell ref="A3:G3"/>
    <mergeCell ref="A4:G4"/>
    <mergeCell ref="A5:G5"/>
    <mergeCell ref="A30:G30"/>
  </mergeCells>
  <pageMargins left="0.23622047244094491" right="0.23622047244094491" top="0.35433070866141736" bottom="0" header="0.31496062992125984" footer="0.31496062992125984"/>
  <pageSetup paperSize="9" orientation="portrait" horizontalDpi="18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56AA3-F9CE-47DD-9B19-9385D8AE8A46}">
  <dimension ref="A1:G59"/>
  <sheetViews>
    <sheetView workbookViewId="0">
      <selection activeCell="A3" sqref="A3:G3"/>
    </sheetView>
  </sheetViews>
  <sheetFormatPr defaultRowHeight="15" x14ac:dyDescent="0.25"/>
  <cols>
    <col min="3" max="3" width="5" customWidth="1"/>
    <col min="4" max="4" width="15" customWidth="1"/>
    <col min="5" max="5" width="7" customWidth="1"/>
    <col min="6" max="6" width="31.85546875" customWidth="1"/>
    <col min="7" max="7" width="22.5703125" customWidth="1"/>
  </cols>
  <sheetData>
    <row r="1" spans="1:7" ht="18.75" x14ac:dyDescent="0.3">
      <c r="A1" s="56" t="s">
        <v>75</v>
      </c>
      <c r="B1" s="56"/>
      <c r="C1" s="56"/>
      <c r="D1" s="56"/>
      <c r="E1" s="56"/>
      <c r="F1" s="56"/>
      <c r="G1" s="56"/>
    </row>
    <row r="2" spans="1:7" ht="12.75" customHeight="1" x14ac:dyDescent="0.25">
      <c r="A2" s="53" t="s">
        <v>50</v>
      </c>
      <c r="B2" s="53"/>
      <c r="C2" s="53"/>
      <c r="D2" s="53"/>
      <c r="E2" s="53"/>
      <c r="F2" s="53"/>
      <c r="G2" s="53"/>
    </row>
    <row r="3" spans="1:7" ht="12" customHeight="1" thickBot="1" x14ac:dyDescent="0.3">
      <c r="A3" s="53" t="s">
        <v>286</v>
      </c>
      <c r="B3" s="53"/>
      <c r="C3" s="53"/>
      <c r="D3" s="53"/>
      <c r="E3" s="53"/>
      <c r="F3" s="53"/>
      <c r="G3" s="53"/>
    </row>
    <row r="4" spans="1:7" ht="19.5" thickTop="1" x14ac:dyDescent="0.3">
      <c r="A4" s="54" t="s">
        <v>0</v>
      </c>
      <c r="B4" s="54"/>
      <c r="C4" s="54"/>
      <c r="D4" s="54"/>
      <c r="E4" s="54"/>
      <c r="F4" s="54"/>
      <c r="G4" s="54"/>
    </row>
    <row r="5" spans="1:7" ht="15.75" x14ac:dyDescent="0.25">
      <c r="A5" s="55" t="str">
        <f>'KWITANSI FULL '!A6:G6</f>
        <v>NO : 367/1026</v>
      </c>
      <c r="B5" s="55"/>
      <c r="C5" s="55"/>
      <c r="D5" s="55"/>
      <c r="E5" s="55"/>
      <c r="F5" s="55"/>
      <c r="G5" s="55"/>
    </row>
    <row r="6" spans="1:7" ht="4.5" customHeight="1" x14ac:dyDescent="0.25">
      <c r="A6" s="11"/>
      <c r="B6" s="11"/>
      <c r="C6" s="11"/>
      <c r="D6" s="11"/>
      <c r="E6" s="11"/>
      <c r="F6" s="11"/>
      <c r="G6" s="11"/>
    </row>
    <row r="7" spans="1:7" ht="15.75" x14ac:dyDescent="0.25">
      <c r="A7" s="11" t="s">
        <v>1</v>
      </c>
      <c r="B7" s="12"/>
      <c r="C7" s="11" t="s">
        <v>195</v>
      </c>
      <c r="D7" s="11" t="s">
        <v>237</v>
      </c>
      <c r="E7" s="11"/>
      <c r="F7" s="11"/>
      <c r="G7" s="43">
        <v>45032</v>
      </c>
    </row>
    <row r="8" spans="1:7" ht="15.75" x14ac:dyDescent="0.25">
      <c r="A8" s="11" t="s">
        <v>2</v>
      </c>
      <c r="B8" s="11"/>
      <c r="C8" s="11" t="s">
        <v>195</v>
      </c>
      <c r="D8" s="11" t="s">
        <v>237</v>
      </c>
      <c r="E8" s="11"/>
      <c r="F8" s="11"/>
      <c r="G8" s="11"/>
    </row>
    <row r="9" spans="1:7" ht="15.75" x14ac:dyDescent="0.25">
      <c r="A9" s="11" t="s">
        <v>3</v>
      </c>
      <c r="B9" s="11"/>
      <c r="C9" s="11" t="s">
        <v>196</v>
      </c>
      <c r="D9" s="11" t="s">
        <v>197</v>
      </c>
      <c r="E9" s="11"/>
      <c r="F9" s="11"/>
      <c r="G9" s="11"/>
    </row>
    <row r="10" spans="1:7" ht="15.75" x14ac:dyDescent="0.25">
      <c r="A10" s="11" t="s">
        <v>14</v>
      </c>
      <c r="B10" s="11"/>
      <c r="C10" s="11"/>
      <c r="D10" s="11"/>
      <c r="E10" s="11"/>
      <c r="F10" s="11"/>
      <c r="G10" s="11"/>
    </row>
    <row r="11" spans="1:7" ht="15.75" x14ac:dyDescent="0.25">
      <c r="A11" s="37"/>
      <c r="B11" s="11"/>
      <c r="C11" s="11"/>
      <c r="D11" s="11"/>
      <c r="E11" s="11"/>
      <c r="F11" s="11"/>
      <c r="G11" s="1"/>
    </row>
    <row r="12" spans="1:7" ht="15.75" x14ac:dyDescent="0.25">
      <c r="A12" s="11" t="s">
        <v>85</v>
      </c>
      <c r="B12" s="11" t="s">
        <v>106</v>
      </c>
      <c r="C12" s="11"/>
      <c r="D12" s="11"/>
      <c r="E12" s="11"/>
      <c r="F12" s="11"/>
      <c r="G12" s="1">
        <v>1500000</v>
      </c>
    </row>
    <row r="13" spans="1:7" ht="15.75" x14ac:dyDescent="0.25">
      <c r="A13" s="11"/>
      <c r="B13" s="11" t="s">
        <v>107</v>
      </c>
      <c r="C13" s="11"/>
      <c r="D13" s="11"/>
      <c r="E13" s="11"/>
      <c r="F13" s="11"/>
      <c r="G13" s="1">
        <v>850000</v>
      </c>
    </row>
    <row r="14" spans="1:7" ht="15.75" x14ac:dyDescent="0.25">
      <c r="A14" s="11"/>
      <c r="B14" s="11" t="s">
        <v>157</v>
      </c>
      <c r="C14" s="11"/>
      <c r="D14" s="11"/>
      <c r="E14" s="11"/>
      <c r="F14" s="11"/>
      <c r="G14" s="1">
        <v>1730000</v>
      </c>
    </row>
    <row r="15" spans="1:7" ht="15.75" x14ac:dyDescent="0.25">
      <c r="A15" s="11"/>
      <c r="B15" s="11" t="s">
        <v>159</v>
      </c>
      <c r="C15" s="11"/>
      <c r="D15" s="11"/>
      <c r="E15" s="11"/>
      <c r="F15" s="11"/>
      <c r="G15" s="1">
        <v>50000</v>
      </c>
    </row>
    <row r="16" spans="1:7" ht="15.75" x14ac:dyDescent="0.25">
      <c r="A16" s="11"/>
      <c r="B16" s="11" t="s">
        <v>160</v>
      </c>
      <c r="C16" s="11"/>
      <c r="D16" s="11"/>
      <c r="E16" s="11"/>
      <c r="F16" s="11"/>
      <c r="G16" s="1">
        <v>200000</v>
      </c>
    </row>
    <row r="17" spans="1:7" ht="15.75" x14ac:dyDescent="0.25">
      <c r="A17" s="11"/>
      <c r="B17" s="11" t="s">
        <v>161</v>
      </c>
      <c r="C17" s="11"/>
      <c r="D17" s="11"/>
      <c r="E17" s="11"/>
      <c r="F17" s="11"/>
      <c r="G17" s="1">
        <v>30000</v>
      </c>
    </row>
    <row r="18" spans="1:7" ht="15.75" x14ac:dyDescent="0.25">
      <c r="A18" s="11"/>
      <c r="B18" s="11" t="s">
        <v>170</v>
      </c>
      <c r="C18" s="11"/>
      <c r="D18" s="11"/>
      <c r="E18" s="11"/>
      <c r="F18" s="11"/>
      <c r="G18" s="1">
        <v>500000</v>
      </c>
    </row>
    <row r="19" spans="1:7" ht="17.25" x14ac:dyDescent="0.4">
      <c r="A19" s="58" t="s">
        <v>168</v>
      </c>
      <c r="B19" s="58"/>
      <c r="C19" s="17"/>
      <c r="D19" s="17"/>
      <c r="E19" s="17"/>
      <c r="F19" s="17"/>
      <c r="G19" s="27">
        <v>640000</v>
      </c>
    </row>
    <row r="20" spans="1:7" ht="15.75" x14ac:dyDescent="0.25">
      <c r="A20" s="58"/>
      <c r="B20" s="58"/>
      <c r="C20" s="17"/>
      <c r="D20" s="17"/>
      <c r="E20" s="18"/>
      <c r="F20" s="17"/>
      <c r="G20" s="14"/>
    </row>
    <row r="21" spans="1:7" ht="15.75" x14ac:dyDescent="0.25">
      <c r="A21" s="11" t="s">
        <v>9</v>
      </c>
      <c r="B21" s="11"/>
      <c r="C21" s="11"/>
      <c r="D21" s="11"/>
      <c r="E21" s="11"/>
      <c r="F21" s="11"/>
      <c r="G21" s="14">
        <f>SUM(G12:G20)</f>
        <v>5500000</v>
      </c>
    </row>
    <row r="22" spans="1:7" ht="15.75" x14ac:dyDescent="0.25">
      <c r="A22" s="11"/>
      <c r="B22" s="11"/>
      <c r="C22" s="11"/>
      <c r="D22" s="11"/>
      <c r="E22" s="11"/>
      <c r="F22" s="11"/>
      <c r="G22" s="14"/>
    </row>
    <row r="23" spans="1:7" ht="15.75" x14ac:dyDescent="0.25">
      <c r="A23" s="11" t="s">
        <v>12</v>
      </c>
      <c r="B23" s="11"/>
      <c r="C23" s="11" t="s">
        <v>11</v>
      </c>
      <c r="D23" s="11" t="s">
        <v>53</v>
      </c>
      <c r="E23" s="11"/>
      <c r="F23" s="11"/>
      <c r="G23" s="11"/>
    </row>
    <row r="24" spans="1:7" ht="15.75" x14ac:dyDescent="0.25">
      <c r="A24" s="11" t="s">
        <v>10</v>
      </c>
      <c r="B24" s="11"/>
      <c r="C24" s="16" t="s">
        <v>13</v>
      </c>
      <c r="D24" s="16" t="s">
        <v>188</v>
      </c>
      <c r="E24" s="11"/>
      <c r="F24" s="11"/>
      <c r="G24" s="11"/>
    </row>
    <row r="25" spans="1:7" ht="8.25" customHeight="1" x14ac:dyDescent="0.25">
      <c r="A25" s="11"/>
      <c r="B25" s="11"/>
      <c r="C25" s="11"/>
      <c r="D25" s="11"/>
      <c r="E25" s="11"/>
      <c r="F25" s="11"/>
      <c r="G25" s="11"/>
    </row>
    <row r="26" spans="1:7" ht="15.75" x14ac:dyDescent="0.25">
      <c r="A26" s="11"/>
      <c r="B26" s="11"/>
      <c r="C26" s="11"/>
      <c r="D26" s="11"/>
      <c r="E26" s="11"/>
      <c r="F26" s="11"/>
      <c r="G26" s="11" t="s">
        <v>16</v>
      </c>
    </row>
    <row r="27" spans="1:7" ht="15.75" x14ac:dyDescent="0.25">
      <c r="A27" s="11"/>
      <c r="B27" s="11"/>
      <c r="C27" s="11"/>
      <c r="D27" s="11"/>
      <c r="E27" s="11"/>
      <c r="F27" s="11"/>
      <c r="G27" s="11"/>
    </row>
    <row r="28" spans="1:7" ht="15.75" x14ac:dyDescent="0.25">
      <c r="A28" s="11"/>
      <c r="B28" s="11"/>
      <c r="C28" s="11"/>
      <c r="D28" s="11"/>
      <c r="E28" s="11"/>
      <c r="F28" s="11"/>
      <c r="G28" s="11"/>
    </row>
    <row r="29" spans="1:7" ht="15.75" x14ac:dyDescent="0.25">
      <c r="A29" s="11"/>
      <c r="B29" s="11"/>
      <c r="C29" s="11"/>
      <c r="D29" s="11"/>
      <c r="E29" s="11"/>
      <c r="F29" s="11"/>
      <c r="G29" s="11"/>
    </row>
    <row r="30" spans="1:7" ht="15.75" x14ac:dyDescent="0.25">
      <c r="A30" s="11"/>
      <c r="B30" s="11"/>
      <c r="C30" s="11"/>
      <c r="D30" s="11"/>
      <c r="E30" s="11"/>
      <c r="F30" s="11"/>
      <c r="G30" s="11"/>
    </row>
    <row r="31" spans="1:7" ht="15.75" x14ac:dyDescent="0.25">
      <c r="A31" s="11"/>
      <c r="B31" s="11"/>
      <c r="C31" s="11"/>
      <c r="D31" s="11"/>
      <c r="E31" s="11"/>
      <c r="F31" s="11"/>
      <c r="G31" s="11" t="s">
        <v>17</v>
      </c>
    </row>
    <row r="32" spans="1:7" ht="15.75" x14ac:dyDescent="0.25">
      <c r="A32" s="11"/>
      <c r="B32" s="11"/>
      <c r="C32" s="11"/>
      <c r="D32" s="11"/>
      <c r="E32" s="11"/>
      <c r="F32" s="11"/>
      <c r="G32" s="11"/>
    </row>
    <row r="33" spans="1:7" ht="15.75" x14ac:dyDescent="0.25">
      <c r="A33" s="11"/>
      <c r="B33" s="11"/>
      <c r="C33" s="11"/>
      <c r="D33" s="11"/>
      <c r="E33" s="11"/>
      <c r="F33" s="11"/>
      <c r="G33" s="11"/>
    </row>
    <row r="35" spans="1:7" ht="18.75" x14ac:dyDescent="0.3">
      <c r="A35" s="56"/>
      <c r="B35" s="56"/>
      <c r="C35" s="56"/>
      <c r="D35" s="56"/>
      <c r="E35" s="56"/>
      <c r="F35" s="56"/>
      <c r="G35" s="56"/>
    </row>
    <row r="36" spans="1:7" x14ac:dyDescent="0.25">
      <c r="A36" s="40"/>
      <c r="B36" s="40"/>
      <c r="C36" s="40"/>
      <c r="D36" s="40"/>
      <c r="E36" s="40"/>
      <c r="F36" s="40"/>
      <c r="G36" s="40"/>
    </row>
    <row r="37" spans="1:7" x14ac:dyDescent="0.25">
      <c r="A37" s="40"/>
      <c r="B37" s="40"/>
      <c r="C37" s="40"/>
      <c r="D37" s="40"/>
      <c r="E37" s="40"/>
      <c r="F37" s="40"/>
      <c r="G37" s="40"/>
    </row>
    <row r="38" spans="1:7" ht="18.75" x14ac:dyDescent="0.3">
      <c r="A38" s="41"/>
      <c r="B38" s="41"/>
      <c r="C38" s="41"/>
      <c r="D38" s="41"/>
      <c r="E38" s="41"/>
      <c r="F38" s="41"/>
      <c r="G38" s="41"/>
    </row>
    <row r="39" spans="1:7" ht="15.75" x14ac:dyDescent="0.25">
      <c r="A39" s="42"/>
      <c r="B39" s="42"/>
      <c r="C39" s="42"/>
      <c r="D39" s="42"/>
      <c r="E39" s="42"/>
      <c r="F39" s="42"/>
      <c r="G39" s="42"/>
    </row>
    <row r="40" spans="1:7" ht="15.75" x14ac:dyDescent="0.25">
      <c r="A40" s="11"/>
      <c r="B40" s="11"/>
      <c r="C40" s="11"/>
      <c r="D40" s="11"/>
      <c r="E40" s="11"/>
      <c r="F40" s="11"/>
      <c r="G40" s="11"/>
    </row>
    <row r="41" spans="1:7" ht="15.75" x14ac:dyDescent="0.25">
      <c r="A41" s="11"/>
      <c r="B41" s="12"/>
      <c r="C41" s="11"/>
      <c r="D41" s="11"/>
      <c r="E41" s="11"/>
      <c r="F41" s="11"/>
      <c r="G41" s="13"/>
    </row>
    <row r="42" spans="1:7" ht="15.75" x14ac:dyDescent="0.25">
      <c r="A42" s="11"/>
      <c r="B42" s="11"/>
      <c r="C42" s="11"/>
      <c r="D42" s="11"/>
      <c r="E42" s="11"/>
      <c r="F42" s="11"/>
      <c r="G42" s="11"/>
    </row>
    <row r="43" spans="1:7" ht="15.75" x14ac:dyDescent="0.25">
      <c r="A43" s="11"/>
      <c r="B43" s="11"/>
      <c r="C43" s="11"/>
      <c r="D43" s="11"/>
      <c r="E43" s="11"/>
      <c r="F43" s="11"/>
      <c r="G43" s="11"/>
    </row>
    <row r="44" spans="1:7" ht="15.75" x14ac:dyDescent="0.25">
      <c r="A44" s="11"/>
      <c r="B44" s="11"/>
      <c r="C44" s="11"/>
      <c r="D44" s="11"/>
      <c r="E44" s="11"/>
      <c r="F44" s="11"/>
      <c r="G44" s="11"/>
    </row>
    <row r="45" spans="1:7" x14ac:dyDescent="0.25">
      <c r="A45" s="17"/>
      <c r="B45" s="17"/>
      <c r="C45" s="17"/>
      <c r="D45" s="17"/>
      <c r="E45" s="17"/>
      <c r="F45" s="17"/>
      <c r="G45" s="32"/>
    </row>
    <row r="46" spans="1:7" x14ac:dyDescent="0.25">
      <c r="A46" s="17"/>
      <c r="B46" s="17"/>
      <c r="C46" s="17"/>
      <c r="D46" s="17"/>
      <c r="E46" s="17"/>
      <c r="F46" s="17"/>
      <c r="G46" s="1"/>
    </row>
    <row r="47" spans="1:7" x14ac:dyDescent="0.25">
      <c r="A47" s="17"/>
      <c r="B47" s="17"/>
      <c r="C47" s="17"/>
      <c r="D47" s="17"/>
      <c r="E47" s="18"/>
      <c r="F47" s="17"/>
      <c r="G47" s="19"/>
    </row>
    <row r="48" spans="1:7" ht="17.25" x14ac:dyDescent="0.4">
      <c r="A48" s="17"/>
      <c r="B48" s="17"/>
      <c r="C48" s="17"/>
      <c r="D48" s="17"/>
      <c r="E48" s="18"/>
      <c r="F48" s="17"/>
      <c r="G48" s="20"/>
    </row>
    <row r="49" spans="1:7" x14ac:dyDescent="0.25">
      <c r="A49" s="17"/>
      <c r="B49" s="17"/>
      <c r="C49" s="17"/>
      <c r="D49" s="17"/>
      <c r="E49" s="18"/>
      <c r="F49" s="17"/>
      <c r="G49" s="21"/>
    </row>
    <row r="50" spans="1:7" ht="15.75" x14ac:dyDescent="0.25">
      <c r="A50" s="11"/>
      <c r="B50" s="11"/>
      <c r="C50" s="11"/>
      <c r="D50" s="11"/>
      <c r="E50" s="11"/>
      <c r="F50" s="11"/>
      <c r="G50" s="15"/>
    </row>
    <row r="51" spans="1:7" ht="15.75" x14ac:dyDescent="0.25">
      <c r="A51" s="11"/>
      <c r="B51" s="11"/>
      <c r="C51" s="11"/>
      <c r="D51" s="11"/>
      <c r="E51" s="11"/>
      <c r="F51" s="11"/>
      <c r="G51" s="14"/>
    </row>
    <row r="52" spans="1:7" ht="15.75" x14ac:dyDescent="0.25">
      <c r="A52" s="11"/>
      <c r="B52" s="11"/>
      <c r="C52" s="11"/>
      <c r="D52" s="11"/>
      <c r="E52" s="11"/>
      <c r="F52" s="11"/>
      <c r="G52" s="11"/>
    </row>
    <row r="53" spans="1:7" ht="15.75" x14ac:dyDescent="0.25">
      <c r="A53" s="11"/>
      <c r="B53" s="11"/>
      <c r="C53" s="16"/>
      <c r="D53" s="16"/>
      <c r="E53" s="11"/>
      <c r="F53" s="11"/>
      <c r="G53" s="11"/>
    </row>
    <row r="54" spans="1:7" ht="17.25" customHeight="1" x14ac:dyDescent="0.25">
      <c r="A54" s="11"/>
      <c r="B54" s="11"/>
      <c r="C54" s="11"/>
      <c r="D54" s="11"/>
      <c r="E54" s="11"/>
      <c r="F54" s="11"/>
      <c r="G54" s="11"/>
    </row>
    <row r="55" spans="1:7" ht="15.75" x14ac:dyDescent="0.25">
      <c r="A55" s="11"/>
      <c r="B55" s="11"/>
      <c r="C55" s="11"/>
      <c r="D55" s="11"/>
      <c r="E55" s="11"/>
      <c r="F55" s="11"/>
      <c r="G55" s="11"/>
    </row>
    <row r="56" spans="1:7" ht="15.75" x14ac:dyDescent="0.25">
      <c r="A56" s="11"/>
      <c r="B56" s="11"/>
      <c r="C56" s="11"/>
      <c r="D56" s="11"/>
      <c r="E56" s="11"/>
      <c r="F56" s="11"/>
      <c r="G56" s="11"/>
    </row>
    <row r="57" spans="1:7" ht="15.75" x14ac:dyDescent="0.25">
      <c r="A57" s="11"/>
      <c r="B57" s="11"/>
      <c r="C57" s="11"/>
      <c r="D57" s="11"/>
      <c r="E57" s="11"/>
      <c r="F57" s="11"/>
      <c r="G57" s="11"/>
    </row>
    <row r="58" spans="1:7" ht="15.75" x14ac:dyDescent="0.25">
      <c r="A58" s="11"/>
      <c r="B58" s="11"/>
      <c r="C58" s="11"/>
      <c r="D58" s="11"/>
      <c r="E58" s="11"/>
      <c r="F58" s="11"/>
      <c r="G58" s="11"/>
    </row>
    <row r="59" spans="1:7" ht="15.75" x14ac:dyDescent="0.25">
      <c r="A59" s="11"/>
      <c r="B59" s="11"/>
      <c r="C59" s="11"/>
      <c r="D59" s="11"/>
      <c r="E59" s="11"/>
      <c r="F59" s="11"/>
      <c r="G59" s="11"/>
    </row>
  </sheetData>
  <mergeCells count="8">
    <mergeCell ref="A35:G35"/>
    <mergeCell ref="A19:B19"/>
    <mergeCell ref="A1:G1"/>
    <mergeCell ref="A2:G2"/>
    <mergeCell ref="A3:G3"/>
    <mergeCell ref="A4:G4"/>
    <mergeCell ref="A5:G5"/>
    <mergeCell ref="A20:B20"/>
  </mergeCells>
  <pageMargins left="0.23622047244094491" right="0.23622047244094491" top="0.35433070866141736" bottom="0.74803149606299213" header="0.31496062992125984" footer="0.31496062992125984"/>
  <pageSetup paperSize="9" orientation="portrait" horizontalDpi="18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FC0D2-397B-43C1-A35C-77F9E528123C}">
  <dimension ref="A1:G57"/>
  <sheetViews>
    <sheetView topLeftCell="A19" zoomScaleNormal="100" workbookViewId="0">
      <selection activeCell="A33" sqref="A33:G33"/>
    </sheetView>
  </sheetViews>
  <sheetFormatPr defaultRowHeight="15" x14ac:dyDescent="0.25"/>
  <cols>
    <col min="1" max="1" width="10.5703125" customWidth="1"/>
    <col min="3" max="3" width="4.85546875" customWidth="1"/>
    <col min="4" max="4" width="18" customWidth="1"/>
    <col min="6" max="6" width="24.7109375" customWidth="1"/>
    <col min="7" max="7" width="22.5703125" customWidth="1"/>
  </cols>
  <sheetData>
    <row r="1" spans="1:7" ht="18.75" x14ac:dyDescent="0.3">
      <c r="A1" s="56" t="s">
        <v>87</v>
      </c>
      <c r="B1" s="56"/>
      <c r="C1" s="56"/>
      <c r="D1" s="56"/>
      <c r="E1" s="56"/>
      <c r="F1" s="56"/>
      <c r="G1" s="56"/>
    </row>
    <row r="2" spans="1:7" ht="12.75" customHeight="1" x14ac:dyDescent="0.25">
      <c r="A2" s="53" t="s">
        <v>50</v>
      </c>
      <c r="B2" s="53"/>
      <c r="C2" s="53"/>
      <c r="D2" s="53"/>
      <c r="E2" s="53"/>
      <c r="F2" s="53"/>
      <c r="G2" s="53"/>
    </row>
    <row r="3" spans="1:7" ht="12" customHeight="1" thickBot="1" x14ac:dyDescent="0.3">
      <c r="A3" s="53" t="s">
        <v>286</v>
      </c>
      <c r="B3" s="53"/>
      <c r="C3" s="53"/>
      <c r="D3" s="53"/>
      <c r="E3" s="53"/>
      <c r="F3" s="53"/>
      <c r="G3" s="53"/>
    </row>
    <row r="4" spans="1:7" ht="19.5" thickTop="1" x14ac:dyDescent="0.3">
      <c r="A4" s="54" t="s">
        <v>0</v>
      </c>
      <c r="B4" s="54"/>
      <c r="C4" s="54"/>
      <c r="D4" s="54"/>
      <c r="E4" s="54"/>
      <c r="F4" s="54"/>
      <c r="G4" s="54"/>
    </row>
    <row r="5" spans="1:7" ht="15.75" x14ac:dyDescent="0.25">
      <c r="A5" s="55" t="s">
        <v>239</v>
      </c>
      <c r="B5" s="55"/>
      <c r="C5" s="55"/>
      <c r="D5" s="55"/>
      <c r="E5" s="55"/>
      <c r="F5" s="55"/>
      <c r="G5" s="55"/>
    </row>
    <row r="6" spans="1:7" ht="4.5" customHeight="1" x14ac:dyDescent="0.25">
      <c r="A6" s="11"/>
      <c r="B6" s="11"/>
      <c r="C6" s="11"/>
      <c r="D6" s="11"/>
      <c r="E6" s="11"/>
      <c r="F6" s="11"/>
      <c r="G6" s="11"/>
    </row>
    <row r="7" spans="1:7" ht="15.75" x14ac:dyDescent="0.25">
      <c r="A7" s="11" t="s">
        <v>1</v>
      </c>
      <c r="B7" s="12"/>
      <c r="C7" s="11" t="s">
        <v>195</v>
      </c>
      <c r="D7" s="11" t="s">
        <v>238</v>
      </c>
      <c r="E7" s="11"/>
      <c r="F7" s="11"/>
      <c r="G7" s="43">
        <f ca="1">TODAY()</f>
        <v>46301</v>
      </c>
    </row>
    <row r="8" spans="1:7" ht="15.75" x14ac:dyDescent="0.25">
      <c r="A8" s="11" t="s">
        <v>2</v>
      </c>
      <c r="B8" s="11"/>
      <c r="C8" s="11" t="s">
        <v>195</v>
      </c>
      <c r="D8" s="11" t="str">
        <f>D7</f>
        <v>Desi Yulinda</v>
      </c>
      <c r="E8" s="11"/>
      <c r="F8" s="11"/>
      <c r="G8" s="11"/>
    </row>
    <row r="9" spans="1:7" ht="15.75" x14ac:dyDescent="0.25">
      <c r="A9" s="11" t="s">
        <v>3</v>
      </c>
      <c r="B9" s="11"/>
      <c r="C9" s="11" t="s">
        <v>196</v>
      </c>
      <c r="D9" s="11" t="s">
        <v>197</v>
      </c>
      <c r="E9" s="11"/>
      <c r="F9" s="11"/>
      <c r="G9" s="11"/>
    </row>
    <row r="10" spans="1:7" ht="15.75" x14ac:dyDescent="0.25">
      <c r="A10" s="11" t="s">
        <v>14</v>
      </c>
      <c r="B10" s="11"/>
      <c r="C10" s="11"/>
      <c r="D10" s="11"/>
      <c r="E10" s="11"/>
      <c r="F10" s="11"/>
      <c r="G10" s="11"/>
    </row>
    <row r="11" spans="1:7" x14ac:dyDescent="0.25">
      <c r="A11" s="37" t="s">
        <v>85</v>
      </c>
      <c r="B11" s="17" t="s">
        <v>6</v>
      </c>
      <c r="C11" s="17"/>
      <c r="D11" s="17"/>
      <c r="E11" s="17"/>
      <c r="F11" s="17"/>
      <c r="G11" s="1">
        <f>VLOOKUP(B11,HARGA!$B$3:$D$137,3,FALSE)</f>
        <v>120000</v>
      </c>
    </row>
    <row r="12" spans="1:7" x14ac:dyDescent="0.25">
      <c r="A12" s="37"/>
      <c r="B12" s="30" t="s">
        <v>7</v>
      </c>
      <c r="C12" s="17"/>
      <c r="D12" s="17"/>
      <c r="E12" s="35"/>
      <c r="F12" s="17"/>
      <c r="G12" s="38">
        <f>VLOOKUP(B12,HARGA!$B$3:$D$137,3,FALSE)</f>
        <v>80000</v>
      </c>
    </row>
    <row r="13" spans="1:7" x14ac:dyDescent="0.25">
      <c r="A13" s="37"/>
      <c r="B13" s="30" t="s">
        <v>98</v>
      </c>
      <c r="C13" s="17"/>
      <c r="D13" s="17"/>
      <c r="E13" s="35"/>
      <c r="F13" s="17"/>
      <c r="G13" s="38">
        <f>VLOOKUP(B13,HARGA!$B$3:$D$137,3,FALSE)</f>
        <v>450000</v>
      </c>
    </row>
    <row r="14" spans="1:7" x14ac:dyDescent="0.25">
      <c r="A14" s="37"/>
      <c r="B14" s="30" t="s">
        <v>97</v>
      </c>
      <c r="C14" s="17"/>
      <c r="D14" s="17"/>
      <c r="E14" s="35"/>
      <c r="F14" s="17"/>
      <c r="G14" s="38">
        <f>VLOOKUP(B14,HARGA!$B$3:$D$137,3,FALSE)</f>
        <v>275000</v>
      </c>
    </row>
    <row r="15" spans="1:7" x14ac:dyDescent="0.25">
      <c r="A15" s="37" t="s">
        <v>92</v>
      </c>
      <c r="B15" s="30" t="s">
        <v>41</v>
      </c>
      <c r="C15" s="17"/>
      <c r="D15" s="17"/>
      <c r="E15" s="35">
        <v>1</v>
      </c>
      <c r="F15" s="17" t="s">
        <v>73</v>
      </c>
      <c r="G15" s="38">
        <f>VLOOKUP(B15,HARGA!$B$3:$D$137,3,FALSE)</f>
        <v>650000</v>
      </c>
    </row>
    <row r="16" spans="1:7" x14ac:dyDescent="0.25">
      <c r="A16" s="37"/>
      <c r="B16" s="30" t="s">
        <v>80</v>
      </c>
      <c r="C16" s="17"/>
      <c r="D16" s="17"/>
      <c r="E16" s="35"/>
      <c r="F16" s="17"/>
      <c r="G16" s="38">
        <f>VLOOKUP(B16,HARGA!$B$3:$D$137,3,FALSE)</f>
        <v>10000</v>
      </c>
    </row>
    <row r="17" spans="1:7" ht="17.25" x14ac:dyDescent="0.4">
      <c r="A17" s="37"/>
      <c r="B17" s="30"/>
      <c r="C17" s="17"/>
      <c r="D17" s="17"/>
      <c r="E17" s="35"/>
      <c r="F17" s="17"/>
      <c r="G17" s="27"/>
    </row>
    <row r="18" spans="1:7" ht="15.75" x14ac:dyDescent="0.25">
      <c r="A18" s="11" t="s">
        <v>9</v>
      </c>
      <c r="B18" s="11"/>
      <c r="C18" s="11"/>
      <c r="D18" s="11"/>
      <c r="E18" s="11"/>
      <c r="F18" s="11"/>
      <c r="G18" s="15">
        <f>SUM(G11:G16)</f>
        <v>1585000</v>
      </c>
    </row>
    <row r="19" spans="1:7" ht="15.75" x14ac:dyDescent="0.25">
      <c r="A19" s="11"/>
      <c r="B19" s="11"/>
      <c r="C19" s="11"/>
      <c r="D19" s="11"/>
      <c r="E19" s="11"/>
      <c r="F19" s="11"/>
      <c r="G19" s="14"/>
    </row>
    <row r="20" spans="1:7" ht="15.75" x14ac:dyDescent="0.25">
      <c r="A20" s="11" t="s">
        <v>12</v>
      </c>
      <c r="B20" s="11"/>
      <c r="C20" s="11" t="s">
        <v>11</v>
      </c>
      <c r="D20" s="11"/>
      <c r="E20" s="11"/>
      <c r="F20" s="11"/>
      <c r="G20" s="11"/>
    </row>
    <row r="21" spans="1:7" ht="15.75" x14ac:dyDescent="0.25">
      <c r="A21" s="11" t="s">
        <v>10</v>
      </c>
      <c r="B21" s="11"/>
      <c r="C21" s="16" t="s">
        <v>13</v>
      </c>
      <c r="D21" s="16" t="s">
        <v>240</v>
      </c>
      <c r="E21" s="11"/>
      <c r="F21" s="11"/>
      <c r="G21" s="11"/>
    </row>
    <row r="22" spans="1:7" ht="8.25" customHeight="1" x14ac:dyDescent="0.25">
      <c r="A22" s="11"/>
      <c r="B22" s="11"/>
      <c r="C22" s="11"/>
      <c r="D22" s="11"/>
      <c r="E22" s="11"/>
      <c r="F22" s="11"/>
      <c r="G22" s="11"/>
    </row>
    <row r="23" spans="1:7" ht="15.75" x14ac:dyDescent="0.25">
      <c r="A23" s="11"/>
      <c r="B23" s="11"/>
      <c r="C23" s="11"/>
      <c r="D23" s="11"/>
      <c r="E23" s="11"/>
      <c r="F23" s="11"/>
      <c r="G23" s="11" t="s">
        <v>16</v>
      </c>
    </row>
    <row r="24" spans="1:7" ht="15.75" x14ac:dyDescent="0.25">
      <c r="A24" s="11"/>
      <c r="B24" s="11"/>
      <c r="C24" s="11"/>
      <c r="D24" s="11"/>
      <c r="E24" s="11"/>
      <c r="F24" s="11"/>
      <c r="G24" s="11"/>
    </row>
    <row r="25" spans="1:7" ht="15.75" x14ac:dyDescent="0.25">
      <c r="A25" s="11"/>
      <c r="B25" s="11"/>
      <c r="C25" s="11"/>
      <c r="D25" s="11"/>
      <c r="E25" s="11"/>
      <c r="F25" s="11"/>
      <c r="G25" s="11"/>
    </row>
    <row r="26" spans="1:7" ht="15.75" x14ac:dyDescent="0.25">
      <c r="A26" s="11"/>
      <c r="B26" s="11"/>
      <c r="C26" s="11"/>
      <c r="D26" s="11"/>
      <c r="E26" s="11"/>
      <c r="F26" s="11"/>
      <c r="G26" s="11" t="s">
        <v>17</v>
      </c>
    </row>
    <row r="27" spans="1:7" ht="15.75" x14ac:dyDescent="0.25">
      <c r="A27" s="11"/>
      <c r="B27" s="11"/>
      <c r="C27" s="11"/>
      <c r="D27" s="11"/>
      <c r="E27" s="11"/>
      <c r="F27" s="11"/>
      <c r="G27" s="11"/>
    </row>
    <row r="28" spans="1:7" ht="15.75" x14ac:dyDescent="0.25">
      <c r="A28" s="28"/>
      <c r="B28" s="28"/>
      <c r="C28" s="28"/>
      <c r="D28" s="28"/>
      <c r="E28" s="28"/>
      <c r="F28" s="28"/>
      <c r="G28" s="28"/>
    </row>
    <row r="29" spans="1:7" ht="15.75" x14ac:dyDescent="0.25">
      <c r="A29" s="11"/>
      <c r="B29" s="11"/>
      <c r="C29" s="11"/>
      <c r="D29" s="11"/>
      <c r="E29" s="11"/>
      <c r="F29" s="11"/>
      <c r="G29" s="11"/>
    </row>
    <row r="31" spans="1:7" ht="18.75" x14ac:dyDescent="0.3">
      <c r="A31" s="56" t="str">
        <f>A1</f>
        <v>AL- QOYYUM ROYAL CLINIC</v>
      </c>
      <c r="B31" s="56"/>
      <c r="C31" s="56"/>
      <c r="D31" s="56"/>
      <c r="E31" s="56"/>
      <c r="F31" s="56"/>
      <c r="G31" s="56"/>
    </row>
    <row r="32" spans="1:7" x14ac:dyDescent="0.25">
      <c r="A32" s="53" t="s">
        <v>50</v>
      </c>
      <c r="B32" s="53"/>
      <c r="C32" s="53"/>
      <c r="D32" s="53"/>
      <c r="E32" s="53"/>
      <c r="F32" s="53"/>
      <c r="G32" s="53"/>
    </row>
    <row r="33" spans="1:7" ht="15.75" thickBot="1" x14ac:dyDescent="0.3">
      <c r="A33" s="53" t="s">
        <v>286</v>
      </c>
      <c r="B33" s="53"/>
      <c r="C33" s="53"/>
      <c r="D33" s="53"/>
      <c r="E33" s="53"/>
      <c r="F33" s="53"/>
      <c r="G33" s="53"/>
    </row>
    <row r="34" spans="1:7" ht="19.5" thickTop="1" x14ac:dyDescent="0.3">
      <c r="A34" s="54" t="s">
        <v>0</v>
      </c>
      <c r="B34" s="54"/>
      <c r="C34" s="54"/>
      <c r="D34" s="54"/>
      <c r="E34" s="54"/>
      <c r="F34" s="54"/>
      <c r="G34" s="54"/>
    </row>
    <row r="35" spans="1:7" ht="15.75" x14ac:dyDescent="0.25">
      <c r="A35" s="55" t="s">
        <v>219</v>
      </c>
      <c r="B35" s="55"/>
      <c r="C35" s="55"/>
      <c r="D35" s="55"/>
      <c r="E35" s="55"/>
      <c r="F35" s="55"/>
      <c r="G35" s="55"/>
    </row>
    <row r="36" spans="1:7" ht="15.75" x14ac:dyDescent="0.25">
      <c r="A36" s="11"/>
      <c r="B36" s="11"/>
      <c r="C36" s="11"/>
      <c r="D36" s="11"/>
      <c r="E36" s="11"/>
      <c r="F36" s="11"/>
      <c r="G36" s="11"/>
    </row>
    <row r="37" spans="1:7" ht="15.75" x14ac:dyDescent="0.25">
      <c r="A37" s="11" t="s">
        <v>1</v>
      </c>
      <c r="B37" s="12"/>
      <c r="C37" s="11" t="s">
        <v>195</v>
      </c>
      <c r="D37" s="11" t="s">
        <v>216</v>
      </c>
      <c r="E37" s="11"/>
      <c r="F37" s="11"/>
      <c r="G37" s="13">
        <f ca="1">TODAY()</f>
        <v>46301</v>
      </c>
    </row>
    <row r="38" spans="1:7" ht="15.75" x14ac:dyDescent="0.25">
      <c r="A38" s="11" t="s">
        <v>2</v>
      </c>
      <c r="B38" s="11"/>
      <c r="C38" s="11" t="s">
        <v>195</v>
      </c>
      <c r="D38" s="11" t="str">
        <f>D37</f>
        <v>Fitri Yulianti</v>
      </c>
      <c r="E38" s="11"/>
      <c r="F38" s="11"/>
      <c r="G38" s="11"/>
    </row>
    <row r="39" spans="1:7" ht="15.75" x14ac:dyDescent="0.25">
      <c r="A39" s="11" t="s">
        <v>3</v>
      </c>
      <c r="B39" s="11"/>
      <c r="C39" s="11" t="s">
        <v>15</v>
      </c>
      <c r="D39" s="11" t="s">
        <v>48</v>
      </c>
      <c r="E39" s="11"/>
      <c r="F39" s="11"/>
      <c r="G39" s="11"/>
    </row>
    <row r="40" spans="1:7" ht="15.75" x14ac:dyDescent="0.25">
      <c r="A40" s="11" t="s">
        <v>14</v>
      </c>
      <c r="B40" s="11"/>
      <c r="C40" s="11"/>
      <c r="D40" s="11"/>
      <c r="E40" s="11"/>
      <c r="F40" s="11"/>
      <c r="G40" s="11"/>
    </row>
    <row r="41" spans="1:7" x14ac:dyDescent="0.25">
      <c r="A41" s="37" t="s">
        <v>85</v>
      </c>
      <c r="B41" s="17" t="s">
        <v>6</v>
      </c>
      <c r="C41" s="17"/>
      <c r="D41" s="17"/>
      <c r="E41" s="17"/>
      <c r="F41" s="17"/>
      <c r="G41" s="1">
        <v>120000</v>
      </c>
    </row>
    <row r="42" spans="1:7" x14ac:dyDescent="0.25">
      <c r="A42" s="37"/>
      <c r="B42" s="17" t="s">
        <v>7</v>
      </c>
      <c r="C42" s="17"/>
      <c r="D42" s="17"/>
      <c r="E42" s="17"/>
      <c r="F42" s="17"/>
      <c r="G42" s="1">
        <v>80000</v>
      </c>
    </row>
    <row r="43" spans="1:7" x14ac:dyDescent="0.25">
      <c r="A43" s="37"/>
      <c r="B43" s="17" t="s">
        <v>90</v>
      </c>
      <c r="C43" s="17"/>
      <c r="D43" s="17"/>
      <c r="E43" s="35"/>
      <c r="F43" s="17"/>
      <c r="G43" s="1">
        <v>450000</v>
      </c>
    </row>
    <row r="44" spans="1:7" x14ac:dyDescent="0.25">
      <c r="A44" s="37" t="s">
        <v>88</v>
      </c>
      <c r="B44" s="17" t="s">
        <v>95</v>
      </c>
      <c r="C44" s="17"/>
      <c r="D44" s="17"/>
      <c r="E44" s="35">
        <v>10</v>
      </c>
      <c r="F44" s="17" t="s">
        <v>73</v>
      </c>
      <c r="G44" s="21">
        <v>20000</v>
      </c>
    </row>
    <row r="45" spans="1:7" ht="15.75" x14ac:dyDescent="0.25">
      <c r="A45" s="37" t="s">
        <v>92</v>
      </c>
      <c r="B45" s="11" t="s">
        <v>41</v>
      </c>
      <c r="C45" s="11"/>
      <c r="D45" s="11"/>
      <c r="E45" s="11">
        <v>1</v>
      </c>
      <c r="F45" s="11" t="s">
        <v>73</v>
      </c>
      <c r="G45" s="14">
        <v>650000</v>
      </c>
    </row>
    <row r="46" spans="1:7" ht="15.75" x14ac:dyDescent="0.25">
      <c r="A46" s="11"/>
      <c r="B46" s="11" t="s">
        <v>93</v>
      </c>
      <c r="C46" s="11"/>
      <c r="D46" s="11"/>
      <c r="E46" s="11">
        <v>1</v>
      </c>
      <c r="F46" s="11" t="s">
        <v>73</v>
      </c>
      <c r="G46" s="14">
        <v>5000</v>
      </c>
    </row>
    <row r="47" spans="1:7" ht="15.75" x14ac:dyDescent="0.25">
      <c r="A47" s="11"/>
      <c r="B47" s="11" t="s">
        <v>94</v>
      </c>
      <c r="C47" s="11"/>
      <c r="D47" s="11"/>
      <c r="E47" s="11">
        <v>1</v>
      </c>
      <c r="F47" s="11" t="s">
        <v>73</v>
      </c>
      <c r="G47" s="14">
        <v>10000</v>
      </c>
    </row>
    <row r="48" spans="1:7" ht="18" x14ac:dyDescent="0.4">
      <c r="A48" s="37" t="s">
        <v>217</v>
      </c>
      <c r="B48" s="11" t="s">
        <v>6</v>
      </c>
      <c r="C48" s="11"/>
      <c r="D48" s="11"/>
      <c r="E48" s="11"/>
      <c r="F48" s="11"/>
      <c r="G48" s="39">
        <f>-G41</f>
        <v>-120000</v>
      </c>
    </row>
    <row r="49" spans="1:7" ht="18" x14ac:dyDescent="0.4">
      <c r="A49" s="11"/>
      <c r="B49" s="11"/>
      <c r="C49" s="11"/>
      <c r="D49" s="11"/>
      <c r="E49" s="11"/>
      <c r="F49" s="11"/>
      <c r="G49" s="39"/>
    </row>
    <row r="50" spans="1:7" ht="15.75" x14ac:dyDescent="0.25">
      <c r="A50" s="11"/>
      <c r="B50" s="11"/>
      <c r="C50" s="11"/>
      <c r="D50" s="11"/>
      <c r="E50" s="11"/>
      <c r="F50" s="11"/>
      <c r="G50" s="14">
        <f>SUM(G41:G48)</f>
        <v>1215000</v>
      </c>
    </row>
    <row r="51" spans="1:7" ht="15.75" x14ac:dyDescent="0.25">
      <c r="A51" s="11" t="s">
        <v>12</v>
      </c>
      <c r="B51" s="11"/>
      <c r="C51" s="11" t="s">
        <v>11</v>
      </c>
      <c r="D51" s="11" t="s">
        <v>53</v>
      </c>
      <c r="E51" s="11"/>
      <c r="F51" s="11"/>
      <c r="G51" s="11"/>
    </row>
    <row r="52" spans="1:7" ht="15.75" x14ac:dyDescent="0.25">
      <c r="A52" s="11" t="s">
        <v>10</v>
      </c>
      <c r="B52" s="11"/>
      <c r="C52" s="16" t="s">
        <v>13</v>
      </c>
      <c r="D52" s="16" t="s">
        <v>218</v>
      </c>
      <c r="E52" s="11"/>
      <c r="F52" s="11"/>
      <c r="G52" s="11"/>
    </row>
    <row r="53" spans="1:7" ht="15.75" x14ac:dyDescent="0.25">
      <c r="A53" s="11"/>
      <c r="B53" s="11"/>
      <c r="C53" s="11"/>
      <c r="D53" s="11"/>
      <c r="E53" s="11"/>
      <c r="F53" s="11"/>
      <c r="G53" s="11" t="s">
        <v>16</v>
      </c>
    </row>
    <row r="54" spans="1:7" ht="15.75" x14ac:dyDescent="0.25">
      <c r="A54" s="11"/>
      <c r="B54" s="11"/>
      <c r="C54" s="11"/>
      <c r="D54" s="11"/>
      <c r="E54" s="11"/>
      <c r="F54" s="11"/>
      <c r="G54" s="11"/>
    </row>
    <row r="55" spans="1:7" ht="15.75" x14ac:dyDescent="0.25">
      <c r="A55" s="11"/>
      <c r="B55" s="11"/>
      <c r="C55" s="11"/>
      <c r="D55" s="11"/>
      <c r="E55" s="11"/>
      <c r="F55" s="11"/>
      <c r="G55" s="11"/>
    </row>
    <row r="56" spans="1:7" ht="15.75" x14ac:dyDescent="0.25">
      <c r="A56" s="11"/>
      <c r="B56" s="11"/>
      <c r="C56" s="11"/>
      <c r="D56" s="11"/>
      <c r="E56" s="11"/>
      <c r="F56" s="11"/>
      <c r="G56" s="11" t="s">
        <v>17</v>
      </c>
    </row>
    <row r="57" spans="1:7" ht="15.75" x14ac:dyDescent="0.25">
      <c r="A57" s="11"/>
      <c r="B57" s="11"/>
      <c r="C57" s="11"/>
      <c r="D57" s="11"/>
      <c r="E57" s="11"/>
      <c r="F57" s="11"/>
      <c r="G57" s="11"/>
    </row>
  </sheetData>
  <mergeCells count="10">
    <mergeCell ref="A32:G32"/>
    <mergeCell ref="A33:G33"/>
    <mergeCell ref="A34:G34"/>
    <mergeCell ref="A35:G35"/>
    <mergeCell ref="A1:G1"/>
    <mergeCell ref="A2:G2"/>
    <mergeCell ref="A3:G3"/>
    <mergeCell ref="A4:G4"/>
    <mergeCell ref="A5:G5"/>
    <mergeCell ref="A31:G31"/>
  </mergeCells>
  <pageMargins left="0.23622047244094491" right="0.23622047244094491" top="0.35433070866141736" bottom="0" header="0.31496062992125984" footer="0.31496062992125984"/>
  <pageSetup paperSize="9" orientation="portrait" horizontalDpi="180" verticalDpi="18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231D9-775F-4708-85ED-E7C33D8E2AD6}">
  <dimension ref="A1:K56"/>
  <sheetViews>
    <sheetView topLeftCell="A4" workbookViewId="0">
      <selection activeCell="A3" sqref="A3:G3"/>
    </sheetView>
  </sheetViews>
  <sheetFormatPr defaultRowHeight="15" x14ac:dyDescent="0.25"/>
  <cols>
    <col min="3" max="3" width="4.5703125" customWidth="1"/>
    <col min="4" max="4" width="15" customWidth="1"/>
    <col min="5" max="5" width="7" customWidth="1"/>
    <col min="6" max="6" width="31" customWidth="1"/>
    <col min="7" max="7" width="22.5703125" customWidth="1"/>
    <col min="11" max="11" width="15.5703125" bestFit="1" customWidth="1"/>
  </cols>
  <sheetData>
    <row r="1" spans="1:11" ht="18.75" x14ac:dyDescent="0.3">
      <c r="A1" s="56" t="s">
        <v>75</v>
      </c>
      <c r="B1" s="56"/>
      <c r="C1" s="56"/>
      <c r="D1" s="56"/>
      <c r="E1" s="56"/>
      <c r="F1" s="56"/>
      <c r="G1" s="56"/>
    </row>
    <row r="2" spans="1:11" ht="12.75" customHeight="1" x14ac:dyDescent="0.25">
      <c r="A2" s="53" t="s">
        <v>50</v>
      </c>
      <c r="B2" s="53"/>
      <c r="C2" s="53"/>
      <c r="D2" s="53"/>
      <c r="E2" s="53"/>
      <c r="F2" s="53"/>
      <c r="G2" s="53"/>
    </row>
    <row r="3" spans="1:11" ht="12" customHeight="1" thickBot="1" x14ac:dyDescent="0.3">
      <c r="A3" s="53" t="s">
        <v>286</v>
      </c>
      <c r="B3" s="53"/>
      <c r="C3" s="53"/>
      <c r="D3" s="53"/>
      <c r="E3" s="53"/>
      <c r="F3" s="53"/>
      <c r="G3" s="53"/>
    </row>
    <row r="4" spans="1:11" ht="19.5" thickTop="1" x14ac:dyDescent="0.3">
      <c r="A4" s="54" t="s">
        <v>0</v>
      </c>
      <c r="B4" s="54"/>
      <c r="C4" s="54"/>
      <c r="D4" s="54"/>
      <c r="E4" s="54"/>
      <c r="F4" s="54"/>
      <c r="G4" s="54"/>
    </row>
    <row r="5" spans="1:11" ht="15.75" x14ac:dyDescent="0.25">
      <c r="A5" s="55" t="s">
        <v>186</v>
      </c>
      <c r="B5" s="55"/>
      <c r="C5" s="55"/>
      <c r="D5" s="55"/>
      <c r="E5" s="55"/>
      <c r="F5" s="55"/>
      <c r="G5" s="55"/>
    </row>
    <row r="6" spans="1:11" ht="4.5" customHeight="1" x14ac:dyDescent="0.25">
      <c r="A6" s="11"/>
      <c r="B6" s="11"/>
      <c r="C6" s="11"/>
      <c r="D6" s="11"/>
      <c r="E6" s="11"/>
      <c r="F6" s="11"/>
      <c r="G6" s="11"/>
    </row>
    <row r="7" spans="1:11" ht="15.75" x14ac:dyDescent="0.25">
      <c r="A7" s="11" t="s">
        <v>1</v>
      </c>
      <c r="B7" s="12"/>
      <c r="C7" s="11" t="s">
        <v>195</v>
      </c>
      <c r="D7" s="11" t="s">
        <v>194</v>
      </c>
      <c r="E7" s="11"/>
      <c r="F7" s="11"/>
      <c r="G7" s="43" t="s">
        <v>191</v>
      </c>
    </row>
    <row r="8" spans="1:11" ht="15.75" x14ac:dyDescent="0.25">
      <c r="A8" s="11" t="s">
        <v>2</v>
      </c>
      <c r="B8" s="11"/>
      <c r="C8" s="11" t="s">
        <v>195</v>
      </c>
      <c r="D8" s="11" t="s">
        <v>194</v>
      </c>
      <c r="E8" s="11"/>
      <c r="F8" s="11"/>
      <c r="G8" s="11"/>
    </row>
    <row r="9" spans="1:11" ht="15.75" x14ac:dyDescent="0.25">
      <c r="A9" s="11" t="s">
        <v>3</v>
      </c>
      <c r="B9" s="11"/>
      <c r="C9" s="11" t="s">
        <v>196</v>
      </c>
      <c r="D9" s="11" t="s">
        <v>197</v>
      </c>
      <c r="E9" s="11"/>
      <c r="F9" s="11"/>
      <c r="G9" s="11"/>
    </row>
    <row r="10" spans="1:11" ht="15.75" x14ac:dyDescent="0.25">
      <c r="A10" s="11" t="s">
        <v>14</v>
      </c>
      <c r="B10" s="11"/>
      <c r="C10" s="11"/>
      <c r="D10" s="11"/>
      <c r="E10" s="11"/>
      <c r="F10" s="11"/>
      <c r="G10" s="11"/>
    </row>
    <row r="11" spans="1:11" ht="15.75" x14ac:dyDescent="0.25">
      <c r="A11" s="37" t="s">
        <v>85</v>
      </c>
      <c r="B11" s="11" t="s">
        <v>6</v>
      </c>
      <c r="C11" s="11"/>
      <c r="D11" s="11"/>
      <c r="E11" s="11"/>
      <c r="F11" s="11"/>
      <c r="G11" s="1">
        <f>VLOOKUP(B11,HARGA!$B$3:$D$137,3,FALSE)</f>
        <v>120000</v>
      </c>
    </row>
    <row r="12" spans="1:11" ht="15.75" x14ac:dyDescent="0.25">
      <c r="A12" s="11"/>
      <c r="B12" s="11" t="s">
        <v>7</v>
      </c>
      <c r="C12" s="11"/>
      <c r="D12" s="11"/>
      <c r="E12" s="11"/>
      <c r="F12" s="11"/>
      <c r="G12" s="1">
        <f>VLOOKUP(B12,HARGA!$B$3:$D$137,3,FALSE)</f>
        <v>80000</v>
      </c>
    </row>
    <row r="13" spans="1:11" ht="15.75" x14ac:dyDescent="0.25">
      <c r="A13" s="11"/>
      <c r="B13" s="11" t="s">
        <v>106</v>
      </c>
      <c r="C13" s="11"/>
      <c r="D13" s="11"/>
      <c r="E13" s="11"/>
      <c r="F13" s="11"/>
      <c r="G13" s="1">
        <v>1500000</v>
      </c>
      <c r="K13" s="44"/>
    </row>
    <row r="14" spans="1:11" ht="15.75" x14ac:dyDescent="0.25">
      <c r="A14" s="11"/>
      <c r="B14" s="11" t="s">
        <v>107</v>
      </c>
      <c r="C14" s="11"/>
      <c r="D14" s="11"/>
      <c r="E14" s="11"/>
      <c r="F14" s="11"/>
      <c r="G14" s="1">
        <v>750000</v>
      </c>
      <c r="K14" s="44"/>
    </row>
    <row r="15" spans="1:11" ht="15.75" x14ac:dyDescent="0.25">
      <c r="A15" s="11"/>
      <c r="B15" s="11" t="s">
        <v>192</v>
      </c>
      <c r="C15" s="11"/>
      <c r="D15" s="11"/>
      <c r="E15" s="11"/>
      <c r="F15" s="11"/>
      <c r="G15" s="1">
        <v>2310000</v>
      </c>
    </row>
    <row r="16" spans="1:11" ht="17.25" x14ac:dyDescent="0.4">
      <c r="A16" s="58" t="s">
        <v>168</v>
      </c>
      <c r="B16" s="58"/>
      <c r="C16" s="17"/>
      <c r="D16" s="17"/>
      <c r="E16" s="17"/>
      <c r="F16" s="17"/>
      <c r="G16" s="27">
        <v>740000</v>
      </c>
    </row>
    <row r="17" spans="1:7" ht="6.75" customHeight="1" x14ac:dyDescent="0.25">
      <c r="A17" s="17"/>
      <c r="B17" s="17"/>
      <c r="C17" s="17"/>
      <c r="D17" s="17"/>
      <c r="E17" s="18"/>
      <c r="F17" s="17"/>
      <c r="G17" s="1"/>
    </row>
    <row r="18" spans="1:7" ht="15.75" x14ac:dyDescent="0.25">
      <c r="A18" s="11" t="s">
        <v>9</v>
      </c>
      <c r="B18" s="11"/>
      <c r="C18" s="11"/>
      <c r="D18" s="11"/>
      <c r="E18" s="11"/>
      <c r="F18" s="11"/>
      <c r="G18" s="15">
        <f>SUM(G11:G16)</f>
        <v>5500000</v>
      </c>
    </row>
    <row r="19" spans="1:7" ht="8.25" customHeight="1" x14ac:dyDescent="0.25">
      <c r="A19" s="11"/>
      <c r="B19" s="11"/>
      <c r="C19" s="11"/>
      <c r="D19" s="11"/>
      <c r="E19" s="11"/>
      <c r="F19" s="11"/>
      <c r="G19" s="14"/>
    </row>
    <row r="20" spans="1:7" ht="15.75" x14ac:dyDescent="0.25">
      <c r="A20" s="11" t="s">
        <v>12</v>
      </c>
      <c r="B20" s="11"/>
      <c r="C20" s="11" t="s">
        <v>11</v>
      </c>
      <c r="D20" s="11" t="s">
        <v>53</v>
      </c>
      <c r="E20" s="11"/>
      <c r="F20" s="11"/>
      <c r="G20" s="11"/>
    </row>
    <row r="21" spans="1:7" ht="15.75" x14ac:dyDescent="0.25">
      <c r="A21" s="11" t="s">
        <v>10</v>
      </c>
      <c r="B21" s="11"/>
      <c r="C21" s="16" t="s">
        <v>13</v>
      </c>
      <c r="D21" s="16" t="s">
        <v>169</v>
      </c>
      <c r="E21" s="11"/>
      <c r="F21" s="11"/>
      <c r="G21" s="11"/>
    </row>
    <row r="22" spans="1:7" ht="8.25" customHeight="1" x14ac:dyDescent="0.25">
      <c r="A22" s="11"/>
      <c r="B22" s="11"/>
      <c r="C22" s="11"/>
      <c r="D22" s="11"/>
      <c r="E22" s="11"/>
      <c r="F22" s="11"/>
      <c r="G22" s="11"/>
    </row>
    <row r="23" spans="1:7" ht="15.75" x14ac:dyDescent="0.25">
      <c r="A23" s="11"/>
      <c r="B23" s="11"/>
      <c r="C23" s="11"/>
      <c r="D23" s="11"/>
      <c r="E23" s="11"/>
      <c r="F23" s="11"/>
      <c r="G23" s="11" t="s">
        <v>16</v>
      </c>
    </row>
    <row r="24" spans="1:7" ht="15.75" x14ac:dyDescent="0.25">
      <c r="A24" s="11"/>
      <c r="B24" s="11"/>
      <c r="C24" s="11"/>
      <c r="D24" s="11"/>
      <c r="E24" s="11"/>
      <c r="F24" s="11"/>
      <c r="G24" s="11"/>
    </row>
    <row r="25" spans="1:7" ht="15.75" x14ac:dyDescent="0.25">
      <c r="A25" s="11"/>
      <c r="B25" s="11"/>
      <c r="C25" s="11"/>
      <c r="D25" s="11"/>
      <c r="E25" s="11"/>
      <c r="F25" s="11"/>
      <c r="G25" s="11"/>
    </row>
    <row r="26" spans="1:7" ht="15.75" x14ac:dyDescent="0.25">
      <c r="A26" s="11"/>
      <c r="B26" s="11"/>
      <c r="C26" s="11"/>
      <c r="D26" s="11"/>
      <c r="E26" s="11"/>
      <c r="F26" s="11"/>
      <c r="G26" s="11"/>
    </row>
    <row r="27" spans="1:7" ht="15.75" x14ac:dyDescent="0.25">
      <c r="A27" s="11"/>
      <c r="B27" s="11"/>
      <c r="C27" s="11"/>
      <c r="D27" s="11"/>
      <c r="E27" s="11"/>
      <c r="F27" s="11"/>
      <c r="G27" s="11"/>
    </row>
    <row r="28" spans="1:7" ht="15.75" x14ac:dyDescent="0.25">
      <c r="A28" s="11"/>
      <c r="B28" s="11"/>
      <c r="C28" s="11"/>
      <c r="D28" s="11"/>
      <c r="E28" s="11"/>
      <c r="F28" s="11"/>
      <c r="G28" s="11" t="s">
        <v>17</v>
      </c>
    </row>
    <row r="29" spans="1:7" ht="15.75" x14ac:dyDescent="0.25">
      <c r="A29" s="11"/>
      <c r="B29" s="11"/>
      <c r="C29" s="11"/>
      <c r="D29" s="11"/>
      <c r="E29" s="11"/>
      <c r="F29" s="11"/>
      <c r="G29" s="11"/>
    </row>
    <row r="30" spans="1:7" ht="15.75" x14ac:dyDescent="0.25">
      <c r="A30" s="11"/>
      <c r="B30" s="11"/>
      <c r="C30" s="11"/>
      <c r="D30" s="11"/>
      <c r="E30" s="11"/>
      <c r="F30" s="11"/>
      <c r="G30" s="11"/>
    </row>
    <row r="32" spans="1:7" ht="18.75" x14ac:dyDescent="0.3">
      <c r="A32" s="56"/>
      <c r="B32" s="56"/>
      <c r="C32" s="56"/>
      <c r="D32" s="56"/>
      <c r="E32" s="56"/>
      <c r="F32" s="56"/>
      <c r="G32" s="56"/>
    </row>
    <row r="33" spans="1:7" x14ac:dyDescent="0.25">
      <c r="A33" s="40"/>
      <c r="B33" s="40"/>
      <c r="C33" s="40"/>
      <c r="D33" s="40"/>
      <c r="E33" s="40"/>
      <c r="F33" s="40"/>
      <c r="G33" s="40"/>
    </row>
    <row r="34" spans="1:7" x14ac:dyDescent="0.25">
      <c r="A34" s="40"/>
      <c r="B34" s="40"/>
      <c r="C34" s="40"/>
      <c r="D34" s="40"/>
      <c r="E34" s="40"/>
      <c r="F34" s="40"/>
      <c r="G34" s="40"/>
    </row>
    <row r="35" spans="1:7" ht="18.75" x14ac:dyDescent="0.3">
      <c r="A35" s="41"/>
      <c r="B35" s="41"/>
      <c r="C35" s="41"/>
      <c r="D35" s="41"/>
      <c r="E35" s="41"/>
      <c r="F35" s="41"/>
      <c r="G35" s="41"/>
    </row>
    <row r="36" spans="1:7" ht="15.75" x14ac:dyDescent="0.25">
      <c r="A36" s="42"/>
      <c r="B36" s="42"/>
      <c r="C36" s="42"/>
      <c r="D36" s="42"/>
      <c r="E36" s="42"/>
      <c r="F36" s="42"/>
      <c r="G36" s="42"/>
    </row>
    <row r="37" spans="1:7" ht="15.75" x14ac:dyDescent="0.25">
      <c r="A37" s="11"/>
      <c r="B37" s="11"/>
      <c r="C37" s="11"/>
      <c r="D37" s="11"/>
      <c r="E37" s="11"/>
      <c r="F37" s="11"/>
      <c r="G37" s="11"/>
    </row>
    <row r="38" spans="1:7" ht="15.75" x14ac:dyDescent="0.25">
      <c r="A38" s="11"/>
      <c r="B38" s="12"/>
      <c r="C38" s="11"/>
      <c r="D38" s="11"/>
      <c r="E38" s="11"/>
      <c r="F38" s="11"/>
      <c r="G38" s="13"/>
    </row>
    <row r="39" spans="1:7" ht="15.75" x14ac:dyDescent="0.25">
      <c r="A39" s="11"/>
      <c r="B39" s="11"/>
      <c r="C39" s="11"/>
      <c r="D39" s="11"/>
      <c r="E39" s="11"/>
      <c r="F39" s="11"/>
      <c r="G39" s="11"/>
    </row>
    <row r="40" spans="1:7" ht="15.75" x14ac:dyDescent="0.25">
      <c r="A40" s="11"/>
      <c r="B40" s="11"/>
      <c r="C40" s="11"/>
      <c r="D40" s="11"/>
      <c r="E40" s="11"/>
      <c r="F40" s="11"/>
      <c r="G40" s="11"/>
    </row>
    <row r="41" spans="1:7" ht="15.75" x14ac:dyDescent="0.25">
      <c r="A41" s="11"/>
      <c r="B41" s="11"/>
      <c r="C41" s="11"/>
      <c r="D41" s="11"/>
      <c r="E41" s="11"/>
      <c r="F41" s="11"/>
      <c r="G41" s="11"/>
    </row>
    <row r="42" spans="1:7" x14ac:dyDescent="0.25">
      <c r="A42" s="17"/>
      <c r="B42" s="17"/>
      <c r="C42" s="17"/>
      <c r="D42" s="17"/>
      <c r="E42" s="17"/>
      <c r="F42" s="17"/>
      <c r="G42" s="32"/>
    </row>
    <row r="43" spans="1:7" x14ac:dyDescent="0.25">
      <c r="A43" s="17"/>
      <c r="B43" s="17"/>
      <c r="C43" s="17"/>
      <c r="D43" s="17"/>
      <c r="E43" s="17"/>
      <c r="F43" s="17"/>
      <c r="G43" s="1"/>
    </row>
    <row r="44" spans="1:7" x14ac:dyDescent="0.25">
      <c r="A44" s="17"/>
      <c r="B44" s="17"/>
      <c r="C44" s="17"/>
      <c r="D44" s="17"/>
      <c r="E44" s="18"/>
      <c r="F44" s="17"/>
      <c r="G44" s="19"/>
    </row>
    <row r="45" spans="1:7" ht="17.25" x14ac:dyDescent="0.4">
      <c r="A45" s="17"/>
      <c r="B45" s="17"/>
      <c r="C45" s="17"/>
      <c r="D45" s="17"/>
      <c r="E45" s="18"/>
      <c r="F45" s="17"/>
      <c r="G45" s="20"/>
    </row>
    <row r="46" spans="1:7" x14ac:dyDescent="0.25">
      <c r="A46" s="17"/>
      <c r="B46" s="17"/>
      <c r="C46" s="17"/>
      <c r="D46" s="17"/>
      <c r="E46" s="18"/>
      <c r="F46" s="17"/>
      <c r="G46" s="21"/>
    </row>
    <row r="47" spans="1:7" ht="15.75" x14ac:dyDescent="0.25">
      <c r="A47" s="11"/>
      <c r="B47" s="11"/>
      <c r="C47" s="11"/>
      <c r="D47" s="11"/>
      <c r="E47" s="11"/>
      <c r="F47" s="11"/>
      <c r="G47" s="15"/>
    </row>
    <row r="48" spans="1:7" ht="15.75" x14ac:dyDescent="0.25">
      <c r="A48" s="11"/>
      <c r="B48" s="11"/>
      <c r="C48" s="11"/>
      <c r="D48" s="11"/>
      <c r="E48" s="11"/>
      <c r="F48" s="11"/>
      <c r="G48" s="14"/>
    </row>
    <row r="49" spans="1:7" ht="15.75" x14ac:dyDescent="0.25">
      <c r="A49" s="11"/>
      <c r="B49" s="11"/>
      <c r="C49" s="11"/>
      <c r="D49" s="11"/>
      <c r="E49" s="11"/>
      <c r="F49" s="11"/>
      <c r="G49" s="11"/>
    </row>
    <row r="50" spans="1:7" ht="15.75" x14ac:dyDescent="0.25">
      <c r="A50" s="11"/>
      <c r="B50" s="11"/>
      <c r="C50" s="16"/>
      <c r="D50" s="16"/>
      <c r="E50" s="11"/>
      <c r="F50" s="11"/>
      <c r="G50" s="11"/>
    </row>
    <row r="51" spans="1:7" ht="17.25" customHeight="1" x14ac:dyDescent="0.25">
      <c r="A51" s="11"/>
      <c r="B51" s="11"/>
      <c r="C51" s="11"/>
      <c r="D51" s="11"/>
      <c r="E51" s="11"/>
      <c r="F51" s="11"/>
      <c r="G51" s="11"/>
    </row>
    <row r="52" spans="1:7" ht="15.75" x14ac:dyDescent="0.25">
      <c r="A52" s="11"/>
      <c r="B52" s="11"/>
      <c r="C52" s="11"/>
      <c r="D52" s="11"/>
      <c r="E52" s="11"/>
      <c r="F52" s="11"/>
      <c r="G52" s="11"/>
    </row>
    <row r="53" spans="1:7" ht="15.75" x14ac:dyDescent="0.25">
      <c r="A53" s="11"/>
      <c r="B53" s="11"/>
      <c r="C53" s="11"/>
      <c r="D53" s="11"/>
      <c r="E53" s="11"/>
      <c r="F53" s="11"/>
      <c r="G53" s="11"/>
    </row>
    <row r="54" spans="1:7" ht="15.75" x14ac:dyDescent="0.25">
      <c r="A54" s="11"/>
      <c r="B54" s="11"/>
      <c r="C54" s="11"/>
      <c r="D54" s="11"/>
      <c r="E54" s="11"/>
      <c r="F54" s="11"/>
      <c r="G54" s="11"/>
    </row>
    <row r="55" spans="1:7" ht="15.75" x14ac:dyDescent="0.25">
      <c r="A55" s="11"/>
      <c r="B55" s="11"/>
      <c r="C55" s="11"/>
      <c r="D55" s="11"/>
      <c r="E55" s="11"/>
      <c r="F55" s="11"/>
      <c r="G55" s="11"/>
    </row>
    <row r="56" spans="1:7" ht="15.75" x14ac:dyDescent="0.25">
      <c r="A56" s="11"/>
      <c r="B56" s="11"/>
      <c r="C56" s="11"/>
      <c r="D56" s="11"/>
      <c r="E56" s="11"/>
      <c r="F56" s="11"/>
      <c r="G56" s="11"/>
    </row>
  </sheetData>
  <mergeCells count="7">
    <mergeCell ref="A32:G32"/>
    <mergeCell ref="A1:G1"/>
    <mergeCell ref="A2:G2"/>
    <mergeCell ref="A3:G3"/>
    <mergeCell ref="A4:G4"/>
    <mergeCell ref="A5:G5"/>
    <mergeCell ref="A16:B16"/>
  </mergeCells>
  <pageMargins left="0.23622047244094491" right="0.23622047244094491" top="0.27559055118110237" bottom="0.74803149606299213" header="0.31496062992125984" footer="0.31496062992125984"/>
  <pageSetup paperSize="9" orientation="portrait" horizontalDpi="18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KWITANSI FULL </vt:lpstr>
      <vt:lpstr>KWITANSI jasa</vt:lpstr>
      <vt:lpstr>KWITANSI obat</vt:lpstr>
      <vt:lpstr>KWITANSI obat (2)</vt:lpstr>
      <vt:lpstr>HARGA</vt:lpstr>
      <vt:lpstr>KWITANSI FULL  (3)</vt:lpstr>
      <vt:lpstr>KWITANSI FULL  (2)</vt:lpstr>
      <vt:lpstr>Kuretase</vt:lpstr>
      <vt:lpstr>mabok.ngidam</vt:lpstr>
      <vt:lpstr>lahiran</vt:lpstr>
      <vt:lpstr>Kuretasi (2)</vt:lpstr>
      <vt:lpstr>Pasang UID</vt:lpstr>
      <vt:lpstr>Kuretasi (3)</vt:lpstr>
      <vt:lpstr>HARGA!Print_Area</vt:lpstr>
      <vt:lpstr>Kuretase!Print_Area</vt:lpstr>
      <vt:lpstr>'Kuretasi (2)'!Print_Area</vt:lpstr>
      <vt:lpstr>'Kuretasi (3)'!Print_Area</vt:lpstr>
      <vt:lpstr>'KWITANSI FULL '!Print_Area</vt:lpstr>
      <vt:lpstr>'KWITANSI FULL  (2)'!Print_Area</vt:lpstr>
      <vt:lpstr>'KWITANSI FULL  (3)'!Print_Area</vt:lpstr>
      <vt:lpstr>'KWITANSI jasa'!Print_Area</vt:lpstr>
      <vt:lpstr>'KWITANSI obat'!Print_Area</vt:lpstr>
      <vt:lpstr>'KWITANSI obat (2)'!Print_Area</vt:lpstr>
      <vt:lpstr>lahiran!Print_Area</vt:lpstr>
      <vt:lpstr>mabok.ngidam!Print_Area</vt:lpstr>
      <vt:lpstr>'Pasang UID'!Print_Area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cp:lastPrinted>2026-10-06T06:58:41Z</cp:lastPrinted>
  <dcterms:created xsi:type="dcterms:W3CDTF">2022-03-14T12:56:49Z</dcterms:created>
  <dcterms:modified xsi:type="dcterms:W3CDTF">2026-10-06T07:11:41Z</dcterms:modified>
</cp:coreProperties>
</file>